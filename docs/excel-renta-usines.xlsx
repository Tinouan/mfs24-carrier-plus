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Recettes" sheetId="2" state="visible" r:id="rId4"/>
    <sheet name="Tiers Usines" sheetId="3" state="visible" r:id="rId5"/>
    <sheet name="Statistiques" sheetId="4" state="visible" r:id="rId6"/>
  </sheets>
  <definedNames>
    <definedName function="false" hidden="true" localSheetId="0" name="_xlnm._FilterDatabase" vbProcedure="false">Items!$A$1:$H$157</definedName>
    <definedName function="false" hidden="true" localSheetId="1" name="_xlnm._FilterDatabase" vbProcedure="false">Recettes!$A$1:$U$119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<sst xmlns="http://schemas.openxmlformats.org/spreadsheetml/2006/main" count="1898" uniqueCount="580">
  <si>
    <t xml:space="preserve">ID</t>
  </si>
  <si>
    <t xml:space="preserve">Nom</t>
  </si>
  <si>
    <t xml:space="preserve">Tier</t>
  </si>
  <si>
    <t xml:space="preserve">Catégorie</t>
  </si>
  <si>
    <t xml:space="preserve">Valeur (€)</t>
  </si>
  <si>
    <t xml:space="preserve">Poids (kg)</t>
  </si>
  <si>
    <t xml:space="preserve">Tags</t>
  </si>
  <si>
    <t xml:space="preserve">Icône SVG</t>
  </si>
  <si>
    <t xml:space="preserve">raw_wheat</t>
  </si>
  <si>
    <t xml:space="preserve">Raw Wheat</t>
  </si>
  <si>
    <t xml:space="preserve">T0</t>
  </si>
  <si>
    <t xml:space="preserve">Alimentaire</t>
  </si>
  <si>
    <t xml:space="preserve">food, raw, plant, grain</t>
  </si>
  <si>
    <t xml:space="preserve">Voir onglet Icônes</t>
  </si>
  <si>
    <t xml:space="preserve">raw_meat</t>
  </si>
  <si>
    <t xml:space="preserve">Raw Meat</t>
  </si>
  <si>
    <t xml:space="preserve">food, raw, animal</t>
  </si>
  <si>
    <t xml:space="preserve">raw_milk</t>
  </si>
  <si>
    <t xml:space="preserve">Raw Milk</t>
  </si>
  <si>
    <t xml:space="preserve">raw_fish</t>
  </si>
  <si>
    <t xml:space="preserve">Raw Fish</t>
  </si>
  <si>
    <t xml:space="preserve">raw_fruits</t>
  </si>
  <si>
    <t xml:space="preserve">Raw Fruits</t>
  </si>
  <si>
    <t xml:space="preserve">food, raw, plant</t>
  </si>
  <si>
    <t xml:space="preserve">raw_vegetables</t>
  </si>
  <si>
    <t xml:space="preserve">Raw Vegetables</t>
  </si>
  <si>
    <t xml:space="preserve">raw_egg</t>
  </si>
  <si>
    <t xml:space="preserve">Egg</t>
  </si>
  <si>
    <t xml:space="preserve">raw_salad</t>
  </si>
  <si>
    <t xml:space="preserve">Salad</t>
  </si>
  <si>
    <t xml:space="preserve">raw_pepper</t>
  </si>
  <si>
    <t xml:space="preserve">Pepper</t>
  </si>
  <si>
    <t xml:space="preserve">food, raw, plant, spice</t>
  </si>
  <si>
    <t xml:space="preserve">raw_chili</t>
  </si>
  <si>
    <t xml:space="preserve">Chili</t>
  </si>
  <si>
    <t xml:space="preserve">raw_cocoa</t>
  </si>
  <si>
    <t xml:space="preserve">Raw Cocoa</t>
  </si>
  <si>
    <t xml:space="preserve">raw_sugar</t>
  </si>
  <si>
    <t xml:space="preserve">Raw Sugar</t>
  </si>
  <si>
    <t xml:space="preserve">raw_vanilla</t>
  </si>
  <si>
    <t xml:space="preserve">Raw Vanilla</t>
  </si>
  <si>
    <t xml:space="preserve">water</t>
  </si>
  <si>
    <t xml:space="preserve">Water</t>
  </si>
  <si>
    <t xml:space="preserve">food, raw</t>
  </si>
  <si>
    <t xml:space="preserve">iron_ore</t>
  </si>
  <si>
    <t xml:space="preserve">Iron Ore</t>
  </si>
  <si>
    <t xml:space="preserve">Minéraux</t>
  </si>
  <si>
    <t xml:space="preserve">construction, mineral, raw</t>
  </si>
  <si>
    <t xml:space="preserve">coal</t>
  </si>
  <si>
    <t xml:space="preserve">Coal</t>
  </si>
  <si>
    <t xml:space="preserve">fuel, raw, mineral</t>
  </si>
  <si>
    <t xml:space="preserve">copper_ore</t>
  </si>
  <si>
    <t xml:space="preserve">Copper Ore</t>
  </si>
  <si>
    <t xml:space="preserve">construction, mineral, raw, electronics</t>
  </si>
  <si>
    <t xml:space="preserve">aluminum_ore</t>
  </si>
  <si>
    <t xml:space="preserve">Aluminum Ore</t>
  </si>
  <si>
    <t xml:space="preserve">titanium_ore</t>
  </si>
  <si>
    <t xml:space="preserve">Titanium Ore</t>
  </si>
  <si>
    <t xml:space="preserve">raw_silicon</t>
  </si>
  <si>
    <t xml:space="preserve">Raw Silicon</t>
  </si>
  <si>
    <t xml:space="preserve">electronics, mineral, raw</t>
  </si>
  <si>
    <t xml:space="preserve">rare_earth</t>
  </si>
  <si>
    <t xml:space="preserve">Rare Earth Metals</t>
  </si>
  <si>
    <t xml:space="preserve">electronics, mineral, raw, advanced</t>
  </si>
  <si>
    <t xml:space="preserve">uranium_ore</t>
  </si>
  <si>
    <t xml:space="preserve">Uranium Ore</t>
  </si>
  <si>
    <t xml:space="preserve">fuel, raw, mineral, advanced</t>
  </si>
  <si>
    <t xml:space="preserve">raw_stone</t>
  </si>
  <si>
    <t xml:space="preserve">Raw Stone</t>
  </si>
  <si>
    <t xml:space="preserve">granite</t>
  </si>
  <si>
    <t xml:space="preserve">Granite</t>
  </si>
  <si>
    <t xml:space="preserve">limestone</t>
  </si>
  <si>
    <t xml:space="preserve">Limestone</t>
  </si>
  <si>
    <t xml:space="preserve">clay</t>
  </si>
  <si>
    <t xml:space="preserve">Clay</t>
  </si>
  <si>
    <t xml:space="preserve">sand</t>
  </si>
  <si>
    <t xml:space="preserve">Sand</t>
  </si>
  <si>
    <t xml:space="preserve">graphite</t>
  </si>
  <si>
    <t xml:space="preserve">Graphite</t>
  </si>
  <si>
    <t xml:space="preserve">raw_salt</t>
  </si>
  <si>
    <t xml:space="preserve">Raw Salt</t>
  </si>
  <si>
    <t xml:space="preserve">food, mineral, raw</t>
  </si>
  <si>
    <t xml:space="preserve">phosphate</t>
  </si>
  <si>
    <t xml:space="preserve">Phosphate</t>
  </si>
  <si>
    <t xml:space="preserve">chemical, mineral, raw</t>
  </si>
  <si>
    <t xml:space="preserve">sulfur</t>
  </si>
  <si>
    <t xml:space="preserve">Sulfur</t>
  </si>
  <si>
    <t xml:space="preserve">crude_oil</t>
  </si>
  <si>
    <t xml:space="preserve">Crude Oil</t>
  </si>
  <si>
    <t xml:space="preserve">Énergie</t>
  </si>
  <si>
    <t xml:space="preserve">fuel, raw</t>
  </si>
  <si>
    <t xml:space="preserve">natural_gas</t>
  </si>
  <si>
    <t xml:space="preserve">Natural Gas</t>
  </si>
  <si>
    <t xml:space="preserve">biomass</t>
  </si>
  <si>
    <t xml:space="preserve">Biomass</t>
  </si>
  <si>
    <t xml:space="preserve">fuel, raw, organic</t>
  </si>
  <si>
    <t xml:space="preserve">raw_wood</t>
  </si>
  <si>
    <t xml:space="preserve">Raw Wood</t>
  </si>
  <si>
    <t xml:space="preserve">Organique</t>
  </si>
  <si>
    <t xml:space="preserve">construction, raw, organic</t>
  </si>
  <si>
    <t xml:space="preserve">cotton</t>
  </si>
  <si>
    <t xml:space="preserve">Cotton</t>
  </si>
  <si>
    <t xml:space="preserve">raw, organic</t>
  </si>
  <si>
    <t xml:space="preserve">raw_rubber</t>
  </si>
  <si>
    <t xml:space="preserve">Raw Rubber</t>
  </si>
  <si>
    <t xml:space="preserve">raw_water</t>
  </si>
  <si>
    <t xml:space="preserve">Raw Water</t>
  </si>
  <si>
    <t xml:space="preserve">raw, liquid, water</t>
  </si>
  <si>
    <t xml:space="preserve">aluminum_ingot</t>
  </si>
  <si>
    <t xml:space="preserve">Aluminum Ingot</t>
  </si>
  <si>
    <t xml:space="preserve">T1</t>
  </si>
  <si>
    <t xml:space="preserve">Métaux</t>
  </si>
  <si>
    <t xml:space="preserve">construction, metal, light</t>
  </si>
  <si>
    <t xml:space="preserve">copper_ingot</t>
  </si>
  <si>
    <t xml:space="preserve">Copper Ingot</t>
  </si>
  <si>
    <t xml:space="preserve">construction, metal, electronics</t>
  </si>
  <si>
    <t xml:space="preserve">steel_ingot</t>
  </si>
  <si>
    <t xml:space="preserve">Steel Ingot</t>
  </si>
  <si>
    <t xml:space="preserve">construction, metal</t>
  </si>
  <si>
    <t xml:space="preserve">titanium_ingot</t>
  </si>
  <si>
    <t xml:space="preserve">Titanium Ingot</t>
  </si>
  <si>
    <t xml:space="preserve">construction, metal, advanced</t>
  </si>
  <si>
    <t xml:space="preserve">silicon_wafers</t>
  </si>
  <si>
    <t xml:space="preserve">Silicon Wafers</t>
  </si>
  <si>
    <t xml:space="preserve">electronics, advanced</t>
  </si>
  <si>
    <t xml:space="preserve">bricks</t>
  </si>
  <si>
    <t xml:space="preserve">Bricks</t>
  </si>
  <si>
    <t xml:space="preserve">Construction</t>
  </si>
  <si>
    <t xml:space="preserve">construction, masonry</t>
  </si>
  <si>
    <t xml:space="preserve">cement</t>
  </si>
  <si>
    <t xml:space="preserve">Cement</t>
  </si>
  <si>
    <t xml:space="preserve">construction, binding</t>
  </si>
  <si>
    <t xml:space="preserve">glass</t>
  </si>
  <si>
    <t xml:space="preserve">Glass</t>
  </si>
  <si>
    <t xml:space="preserve">construction, transparent</t>
  </si>
  <si>
    <t xml:space="preserve">marble_slabs</t>
  </si>
  <si>
    <t xml:space="preserve">Marble Slabs</t>
  </si>
  <si>
    <t xml:space="preserve">construction, masonry, luxury</t>
  </si>
  <si>
    <t xml:space="preserve">planks</t>
  </si>
  <si>
    <t xml:space="preserve">Planks</t>
  </si>
  <si>
    <t xml:space="preserve">construction, wood</t>
  </si>
  <si>
    <t xml:space="preserve">rubber_sheets</t>
  </si>
  <si>
    <t xml:space="preserve">Rubber Sheets</t>
  </si>
  <si>
    <t xml:space="preserve">construction, industrial</t>
  </si>
  <si>
    <t xml:space="preserve">stone_bricks</t>
  </si>
  <si>
    <t xml:space="preserve">Stone Bricks</t>
  </si>
  <si>
    <t xml:space="preserve">fabric</t>
  </si>
  <si>
    <t xml:space="preserve">Fabric</t>
  </si>
  <si>
    <t xml:space="preserve">construction, textile</t>
  </si>
  <si>
    <t xml:space="preserve">bread</t>
  </si>
  <si>
    <t xml:space="preserve">Bread</t>
  </si>
  <si>
    <t xml:space="preserve">food, baked</t>
  </si>
  <si>
    <t xml:space="preserve">butter</t>
  </si>
  <si>
    <t xml:space="preserve">Butter</t>
  </si>
  <si>
    <t xml:space="preserve">food, dairy</t>
  </si>
  <si>
    <t xml:space="preserve">cocoa_powder</t>
  </si>
  <si>
    <t xml:space="preserve">Cocoa Powder</t>
  </si>
  <si>
    <t xml:space="preserve">food, ingredient</t>
  </si>
  <si>
    <t xml:space="preserve">dried_fish</t>
  </si>
  <si>
    <t xml:space="preserve">Dried Fish</t>
  </si>
  <si>
    <t xml:space="preserve">food, preserved</t>
  </si>
  <si>
    <t xml:space="preserve">flour</t>
  </si>
  <si>
    <t xml:space="preserve">Flour</t>
  </si>
  <si>
    <t xml:space="preserve">fruit_jam</t>
  </si>
  <si>
    <t xml:space="preserve">Fruit Jam</t>
  </si>
  <si>
    <t xml:space="preserve">food, preserved, sweet</t>
  </si>
  <si>
    <t xml:space="preserve">salted_meat</t>
  </si>
  <si>
    <t xml:space="preserve">Salted Meat</t>
  </si>
  <si>
    <t xml:space="preserve">food, preserved, animal</t>
  </si>
  <si>
    <t xml:space="preserve">sugar_syrup</t>
  </si>
  <si>
    <t xml:space="preserve">Sugar Syrup</t>
  </si>
  <si>
    <t xml:space="preserve">vanilla_extract</t>
  </si>
  <si>
    <t xml:space="preserve">Vanilla Extract</t>
  </si>
  <si>
    <t xml:space="preserve">food, ingredient, rare</t>
  </si>
  <si>
    <t xml:space="preserve">vegetable_stew</t>
  </si>
  <si>
    <t xml:space="preserve">Vegetable Stew</t>
  </si>
  <si>
    <t xml:space="preserve">food, cooked</t>
  </si>
  <si>
    <t xml:space="preserve">biofuel</t>
  </si>
  <si>
    <t xml:space="preserve">Biofuel</t>
  </si>
  <si>
    <t xml:space="preserve">Chimie</t>
  </si>
  <si>
    <t xml:space="preserve">fuel, renewable</t>
  </si>
  <si>
    <t xml:space="preserve">charcoal</t>
  </si>
  <si>
    <t xml:space="preserve">Charcoal</t>
  </si>
  <si>
    <t xml:space="preserve">fuel, solid</t>
  </si>
  <si>
    <t xml:space="preserve">compressed_gas</t>
  </si>
  <si>
    <t xml:space="preserve">Compressed Gas</t>
  </si>
  <si>
    <t xml:space="preserve">fuel, gas</t>
  </si>
  <si>
    <t xml:space="preserve">diesel</t>
  </si>
  <si>
    <t xml:space="preserve">Diesel</t>
  </si>
  <si>
    <t xml:space="preserve">fuel, liquid</t>
  </si>
  <si>
    <t xml:space="preserve">fertilizer</t>
  </si>
  <si>
    <t xml:space="preserve">Fertilizer</t>
  </si>
  <si>
    <t xml:space="preserve">chemical, agriculture</t>
  </si>
  <si>
    <t xml:space="preserve">sulfuric_acid</t>
  </si>
  <si>
    <t xml:space="preserve">Sulfuric Acid</t>
  </si>
  <si>
    <t xml:space="preserve">chemical, industrial</t>
  </si>
  <si>
    <t xml:space="preserve">uranium_pellets</t>
  </si>
  <si>
    <t xml:space="preserve">Uranium Pellets</t>
  </si>
  <si>
    <t xml:space="preserve">fuel, nuclear, advanced</t>
  </si>
  <si>
    <t xml:space="preserve">aluminum_frame</t>
  </si>
  <si>
    <t xml:space="preserve">Aluminum Frame</t>
  </si>
  <si>
    <t xml:space="preserve">T2</t>
  </si>
  <si>
    <t xml:space="preserve">concrete_blocks</t>
  </si>
  <si>
    <t xml:space="preserve">Concrete Blocks</t>
  </si>
  <si>
    <t xml:space="preserve">reinforced_steel</t>
  </si>
  <si>
    <t xml:space="preserve">Reinforced Steel</t>
  </si>
  <si>
    <t xml:space="preserve">construction, metal, quality</t>
  </si>
  <si>
    <t xml:space="preserve">steel_pipes</t>
  </si>
  <si>
    <t xml:space="preserve">Steel Pipes</t>
  </si>
  <si>
    <t xml:space="preserve">construction, metal, plumbing</t>
  </si>
  <si>
    <t xml:space="preserve">titanium_plates</t>
  </si>
  <si>
    <t xml:space="preserve">Titanium Plates</t>
  </si>
  <si>
    <t xml:space="preserve">construction, metal, advanced, armor</t>
  </si>
  <si>
    <t xml:space="preserve">window_panes</t>
  </si>
  <si>
    <t xml:space="preserve">Window Panes</t>
  </si>
  <si>
    <t xml:space="preserve">wire_cable</t>
  </si>
  <si>
    <t xml:space="preserve">Wire Cable</t>
  </si>
  <si>
    <t xml:space="preserve">wooden_beams</t>
  </si>
  <si>
    <t xml:space="preserve">Wooden Beams</t>
  </si>
  <si>
    <t xml:space="preserve">insulation</t>
  </si>
  <si>
    <t xml:space="preserve">Insulation</t>
  </si>
  <si>
    <t xml:space="preserve">cheese</t>
  </si>
  <si>
    <t xml:space="preserve">Cheese</t>
  </si>
  <si>
    <t xml:space="preserve">food, dairy, quality</t>
  </si>
  <si>
    <t xml:space="preserve">chocolate_bar</t>
  </si>
  <si>
    <t xml:space="preserve">Chocolate Bar</t>
  </si>
  <si>
    <t xml:space="preserve">food, sweet, luxury</t>
  </si>
  <si>
    <t xml:space="preserve">dried_fruit</t>
  </si>
  <si>
    <t xml:space="preserve">Dried Fruit</t>
  </si>
  <si>
    <t xml:space="preserve">fruit_cake</t>
  </si>
  <si>
    <t xml:space="preserve">Fruit Cake</t>
  </si>
  <si>
    <t xml:space="preserve">food, baked, sweet</t>
  </si>
  <si>
    <t xml:space="preserve">honey_bread</t>
  </si>
  <si>
    <t xml:space="preserve">Honey Bread</t>
  </si>
  <si>
    <t xml:space="preserve">food, baked, sweet, quality</t>
  </si>
  <si>
    <t xml:space="preserve">pastry</t>
  </si>
  <si>
    <t xml:space="preserve">Pastry</t>
  </si>
  <si>
    <t xml:space="preserve">quality_bread</t>
  </si>
  <si>
    <t xml:space="preserve">Quality Bread</t>
  </si>
  <si>
    <t xml:space="preserve">food, baked, quality</t>
  </si>
  <si>
    <t xml:space="preserve">sausage</t>
  </si>
  <si>
    <t xml:space="preserve">Sausage</t>
  </si>
  <si>
    <t xml:space="preserve">food, meat, preserved</t>
  </si>
  <si>
    <t xml:space="preserve">smoked_fish</t>
  </si>
  <si>
    <t xml:space="preserve">Smoked Fish</t>
  </si>
  <si>
    <t xml:space="preserve">food, preserved, quality</t>
  </si>
  <si>
    <t xml:space="preserve">vegetable_soup</t>
  </si>
  <si>
    <t xml:space="preserve">Vegetable Soup</t>
  </si>
  <si>
    <t xml:space="preserve">food, cooked, quality</t>
  </si>
  <si>
    <t xml:space="preserve">adhesive</t>
  </si>
  <si>
    <t xml:space="preserve">Adhesive</t>
  </si>
  <si>
    <t xml:space="preserve">cleaning_solution</t>
  </si>
  <si>
    <t xml:space="preserve">Cleaning Solution</t>
  </si>
  <si>
    <t xml:space="preserve">heating_oil</t>
  </si>
  <si>
    <t xml:space="preserve">Heating Oil</t>
  </si>
  <si>
    <t xml:space="preserve">jet_fuel</t>
  </si>
  <si>
    <t xml:space="preserve">Jet Fuel</t>
  </si>
  <si>
    <t xml:space="preserve">fuel, liquid, aviation</t>
  </si>
  <si>
    <t xml:space="preserve">nuclear_fuel_rod</t>
  </si>
  <si>
    <t xml:space="preserve">Nuclear Fuel Rod</t>
  </si>
  <si>
    <t xml:space="preserve">paint</t>
  </si>
  <si>
    <t xml:space="preserve">Paint</t>
  </si>
  <si>
    <t xml:space="preserve">chemical, construction</t>
  </si>
  <si>
    <t xml:space="preserve">plastic_sheets</t>
  </si>
  <si>
    <t xml:space="preserve">Plastic Sheets</t>
  </si>
  <si>
    <t xml:space="preserve">construction, chemical</t>
  </si>
  <si>
    <t xml:space="preserve">premium_biofuel</t>
  </si>
  <si>
    <t xml:space="preserve">Premium Biofuel</t>
  </si>
  <si>
    <t xml:space="preserve">fuel, renewable, quality</t>
  </si>
  <si>
    <t xml:space="preserve">rocket_propellant</t>
  </si>
  <si>
    <t xml:space="preserve">Rocket Propellant</t>
  </si>
  <si>
    <t xml:space="preserve">fuel, liquid, advanced</t>
  </si>
  <si>
    <t xml:space="preserve">circuit_board</t>
  </si>
  <si>
    <t xml:space="preserve">Circuit Board</t>
  </si>
  <si>
    <t xml:space="preserve">Électronique</t>
  </si>
  <si>
    <t xml:space="preserve">medical_bandages</t>
  </si>
  <si>
    <t xml:space="preserve">Medical Bandages</t>
  </si>
  <si>
    <t xml:space="preserve">Médical</t>
  </si>
  <si>
    <t xml:space="preserve">medical, consumable</t>
  </si>
  <si>
    <t xml:space="preserve">steel_beam</t>
  </si>
  <si>
    <t xml:space="preserve">Steel Beam</t>
  </si>
  <si>
    <t xml:space="preserve">construction, metal, structural</t>
  </si>
  <si>
    <t xml:space="preserve">copper_wire</t>
  </si>
  <si>
    <t xml:space="preserve">Copper Wire</t>
  </si>
  <si>
    <t xml:space="preserve">electronics, metal, wiring</t>
  </si>
  <si>
    <t xml:space="preserve">fiberglass</t>
  </si>
  <si>
    <t xml:space="preserve">Fiberglass</t>
  </si>
  <si>
    <t xml:space="preserve">construction, composite</t>
  </si>
  <si>
    <t xml:space="preserve">plywood</t>
  </si>
  <si>
    <t xml:space="preserve">Plywood</t>
  </si>
  <si>
    <t xml:space="preserve">ceramic_tiles</t>
  </si>
  <si>
    <t xml:space="preserve">Ceramic Tiles</t>
  </si>
  <si>
    <t xml:space="preserve">rubber_gasket</t>
  </si>
  <si>
    <t xml:space="preserve">Rubber Gasket</t>
  </si>
  <si>
    <t xml:space="preserve">construction, industrial, seal</t>
  </si>
  <si>
    <t xml:space="preserve">steel_nails</t>
  </si>
  <si>
    <t xml:space="preserve">Steel Nails</t>
  </si>
  <si>
    <t xml:space="preserve">construction, metal, fastener</t>
  </si>
  <si>
    <t xml:space="preserve">firebricks</t>
  </si>
  <si>
    <t xml:space="preserve">Firebricks</t>
  </si>
  <si>
    <t xml:space="preserve">construction, industrial, heat</t>
  </si>
  <si>
    <t xml:space="preserve">asphalt</t>
  </si>
  <si>
    <t xml:space="preserve">Asphalt</t>
  </si>
  <si>
    <t xml:space="preserve">construction, road</t>
  </si>
  <si>
    <t xml:space="preserve">tempered_glass</t>
  </si>
  <si>
    <t xml:space="preserve">Tempered Glass</t>
  </si>
  <si>
    <t xml:space="preserve">construction, transparent, quality</t>
  </si>
  <si>
    <t xml:space="preserve">canned_fish</t>
  </si>
  <si>
    <t xml:space="preserve">Canned Fish</t>
  </si>
  <si>
    <t xml:space="preserve">spiced_meat</t>
  </si>
  <si>
    <t xml:space="preserve">Spiced Meat</t>
  </si>
  <si>
    <t xml:space="preserve">food, meat, spiced</t>
  </si>
  <si>
    <t xml:space="preserve">fruit_juice</t>
  </si>
  <si>
    <t xml:space="preserve">Fruit Juice</t>
  </si>
  <si>
    <t xml:space="preserve">food, drink, sweet</t>
  </si>
  <si>
    <t xml:space="preserve">cheese_wheel</t>
  </si>
  <si>
    <t xml:space="preserve">Cheese Wheel</t>
  </si>
  <si>
    <t xml:space="preserve">food, dairy, luxury</t>
  </si>
  <si>
    <t xml:space="preserve">chili_sauce</t>
  </si>
  <si>
    <t xml:space="preserve">Chili Sauce</t>
  </si>
  <si>
    <t xml:space="preserve">food, sauce, spiced</t>
  </si>
  <si>
    <t xml:space="preserve">vanilla_cake</t>
  </si>
  <si>
    <t xml:space="preserve">Vanilla Cake</t>
  </si>
  <si>
    <t xml:space="preserve">food, baked, luxury</t>
  </si>
  <si>
    <t xml:space="preserve">lubricant</t>
  </si>
  <si>
    <t xml:space="preserve">Lubricant</t>
  </si>
  <si>
    <t xml:space="preserve">chemical, industrial, oil</t>
  </si>
  <si>
    <t xml:space="preserve">graphite_rod</t>
  </si>
  <si>
    <t xml:space="preserve">Graphite Rod</t>
  </si>
  <si>
    <t xml:space="preserve">dye</t>
  </si>
  <si>
    <t xml:space="preserve">Dye</t>
  </si>
  <si>
    <t xml:space="preserve">chemical, textile</t>
  </si>
  <si>
    <t xml:space="preserve">battery_cell</t>
  </si>
  <si>
    <t xml:space="preserve">Battery Cell</t>
  </si>
  <si>
    <t xml:space="preserve">electronics, energy</t>
  </si>
  <si>
    <t xml:space="preserve">structural_panel</t>
  </si>
  <si>
    <t xml:space="preserve">Structural Panel</t>
  </si>
  <si>
    <t xml:space="preserve">T3</t>
  </si>
  <si>
    <t xml:space="preserve">construction, composite, structural</t>
  </si>
  <si>
    <t xml:space="preserve">insulated_wall</t>
  </si>
  <si>
    <t xml:space="preserve">Insulated Wall</t>
  </si>
  <si>
    <t xml:space="preserve">armored_plate</t>
  </si>
  <si>
    <t xml:space="preserve">Armored Plate</t>
  </si>
  <si>
    <t xml:space="preserve">construction, metal, armor</t>
  </si>
  <si>
    <t xml:space="preserve">hydraulic_cylinder</t>
  </si>
  <si>
    <t xml:space="preserve">Hydraulic Cylinder</t>
  </si>
  <si>
    <t xml:space="preserve">Mécanique</t>
  </si>
  <si>
    <t xml:space="preserve">mechanical, industrial</t>
  </si>
  <si>
    <t xml:space="preserve">electric_motor</t>
  </si>
  <si>
    <t xml:space="preserve">Electric Motor</t>
  </si>
  <si>
    <t xml:space="preserve">electronics, mechanical, industrial</t>
  </si>
  <si>
    <t xml:space="preserve">sensor_module</t>
  </si>
  <si>
    <t xml:space="preserve">Sensor Module</t>
  </si>
  <si>
    <t xml:space="preserve">power_supply</t>
  </si>
  <si>
    <t xml:space="preserve">Power Supply</t>
  </si>
  <si>
    <t xml:space="preserve">led_panel</t>
  </si>
  <si>
    <t xml:space="preserve">LED Panel</t>
  </si>
  <si>
    <t xml:space="preserve">electronics, lighting</t>
  </si>
  <si>
    <t xml:space="preserve">premium_chocolate</t>
  </si>
  <si>
    <t xml:space="preserve">Premium Chocolate</t>
  </si>
  <si>
    <t xml:space="preserve">food, luxury, sweet</t>
  </si>
  <si>
    <t xml:space="preserve">gourmet_meal</t>
  </si>
  <si>
    <t xml:space="preserve">Gourmet Meal</t>
  </si>
  <si>
    <t xml:space="preserve">food, luxury, cooked</t>
  </si>
  <si>
    <t xml:space="preserve">aged_cheese</t>
  </si>
  <si>
    <t xml:space="preserve">Aged Cheese</t>
  </si>
  <si>
    <t xml:space="preserve">food, dairy, luxury, aged</t>
  </si>
  <si>
    <t xml:space="preserve">carbon_fiber</t>
  </si>
  <si>
    <t xml:space="preserve">Carbon Fiber</t>
  </si>
  <si>
    <t xml:space="preserve">construction, composite, advanced</t>
  </si>
  <si>
    <t xml:space="preserve">industrial_solvent</t>
  </si>
  <si>
    <t xml:space="preserve">Industrial Solvent</t>
  </si>
  <si>
    <t xml:space="preserve">turbine_blade</t>
  </si>
  <si>
    <t xml:space="preserve">Turbine Blade</t>
  </si>
  <si>
    <t xml:space="preserve">mechanical, advanced, aviation</t>
  </si>
  <si>
    <t xml:space="preserve">advanced_battery</t>
  </si>
  <si>
    <t xml:space="preserve">Advanced Battery</t>
  </si>
  <si>
    <t xml:space="preserve">electronics, energy, advanced</t>
  </si>
  <si>
    <t xml:space="preserve">avionics_unit</t>
  </si>
  <si>
    <t xml:space="preserve">Avionics Unit</t>
  </si>
  <si>
    <t xml:space="preserve">T4</t>
  </si>
  <si>
    <t xml:space="preserve">Aviation</t>
  </si>
  <si>
    <t xml:space="preserve">aviation, electronics, advanced</t>
  </si>
  <si>
    <t xml:space="preserve">landing_gear_part</t>
  </si>
  <si>
    <t xml:space="preserve">Landing Gear Part</t>
  </si>
  <si>
    <t xml:space="preserve">aviation, mechanical, structural</t>
  </si>
  <si>
    <t xml:space="preserve">navigation_system</t>
  </si>
  <si>
    <t xml:space="preserve">Navigation System</t>
  </si>
  <si>
    <t xml:space="preserve">aviation, electronics</t>
  </si>
  <si>
    <t xml:space="preserve">solar_panel</t>
  </si>
  <si>
    <t xml:space="preserve">Solar Panel</t>
  </si>
  <si>
    <t xml:space="preserve">electronics, energy, renewable</t>
  </si>
  <si>
    <t xml:space="preserve">industrial_robot_arm</t>
  </si>
  <si>
    <t xml:space="preserve">Industrial Robot Arm</t>
  </si>
  <si>
    <t xml:space="preserve">mechanical, electronics, advanced</t>
  </si>
  <si>
    <t xml:space="preserve">generator</t>
  </si>
  <si>
    <t xml:space="preserve">Generator</t>
  </si>
  <si>
    <t xml:space="preserve">mechanical, energy</t>
  </si>
  <si>
    <t xml:space="preserve">satellite_dish</t>
  </si>
  <si>
    <t xml:space="preserve">Satellite Dish</t>
  </si>
  <si>
    <t xml:space="preserve">electronics, communication</t>
  </si>
  <si>
    <t xml:space="preserve">medical_scanner</t>
  </si>
  <si>
    <t xml:space="preserve">Medical Scanner</t>
  </si>
  <si>
    <t xml:space="preserve">medical, electronics, advanced</t>
  </si>
  <si>
    <t xml:space="preserve">prefab_module</t>
  </si>
  <si>
    <t xml:space="preserve">Prefab Module</t>
  </si>
  <si>
    <t xml:space="preserve">construction, structural, prefab</t>
  </si>
  <si>
    <t xml:space="preserve">climate_control</t>
  </si>
  <si>
    <t xml:space="preserve">Climate Control Unit</t>
  </si>
  <si>
    <t xml:space="preserve">mechanical, electronics</t>
  </si>
  <si>
    <t xml:space="preserve">airline_meal_kit</t>
  </si>
  <si>
    <t xml:space="preserve">Airline Meal Kit</t>
  </si>
  <si>
    <t xml:space="preserve">food, aviation, quality</t>
  </si>
  <si>
    <t xml:space="preserve">luxury_choco_box</t>
  </si>
  <si>
    <t xml:space="preserve">Luxury Chocolate Box</t>
  </si>
  <si>
    <t xml:space="preserve">artisan_cheese_platter</t>
  </si>
  <si>
    <t xml:space="preserve">Artisan Cheese Platter</t>
  </si>
  <si>
    <t xml:space="preserve">flight_computer</t>
  </si>
  <si>
    <t xml:space="preserve">Flight Computer</t>
  </si>
  <si>
    <t xml:space="preserve">T5</t>
  </si>
  <si>
    <t xml:space="preserve">aviation, electronics, advanced, luxury</t>
  </si>
  <si>
    <t xml:space="preserve">aircraft_engine_part</t>
  </si>
  <si>
    <t xml:space="preserve">Aircraft Engine Part</t>
  </si>
  <si>
    <t xml:space="preserve">aviation, mechanical, advanced</t>
  </si>
  <si>
    <t xml:space="preserve">satellite_component</t>
  </si>
  <si>
    <t xml:space="preserve">Satellite Component</t>
  </si>
  <si>
    <t xml:space="preserve">Spatial</t>
  </si>
  <si>
    <t xml:space="preserve">electronics, space, advanced</t>
  </si>
  <si>
    <t xml:space="preserve">nuclear_reactor_core</t>
  </si>
  <si>
    <t xml:space="preserve">Nuclear Reactor Core</t>
  </si>
  <si>
    <t xml:space="preserve">energy, nuclear, advanced</t>
  </si>
  <si>
    <t xml:space="preserve">luxury_watch</t>
  </si>
  <si>
    <t xml:space="preserve">Luxury Watch</t>
  </si>
  <si>
    <t xml:space="preserve">Luxe</t>
  </si>
  <si>
    <t xml:space="preserve">luxury, precision</t>
  </si>
  <si>
    <t xml:space="preserve">fine_dining_set</t>
  </si>
  <si>
    <t xml:space="preserve">Fine Dining Set</t>
  </si>
  <si>
    <t xml:space="preserve">food, luxury, gourmet</t>
  </si>
  <si>
    <t xml:space="preserve">surgical_robot</t>
  </si>
  <si>
    <t xml:space="preserve">Surgical Robot</t>
  </si>
  <si>
    <t xml:space="preserve">medical, electronics, advanced, luxury</t>
  </si>
  <si>
    <t xml:space="preserve">research_lab_kit</t>
  </si>
  <si>
    <t xml:space="preserve">Research Lab Kit</t>
  </si>
  <si>
    <t xml:space="preserve">medical, chemical, advanced</t>
  </si>
  <si>
    <t xml:space="preserve">first_class_catering</t>
  </si>
  <si>
    <t xml:space="preserve">First Class Catering</t>
  </si>
  <si>
    <t xml:space="preserve">food, aviation, luxury</t>
  </si>
  <si>
    <t xml:space="preserve">royal_banquet_set</t>
  </si>
  <si>
    <t xml:space="preserve">Royal Banquet Set</t>
  </si>
  <si>
    <t xml:space="preserve">food, luxury, gourmet, rare</t>
  </si>
  <si>
    <t xml:space="preserve">Recette</t>
  </si>
  <si>
    <t xml:space="preserve">Produit</t>
  </si>
  <si>
    <t xml:space="preserve">Qté produite</t>
  </si>
  <si>
    <t xml:space="preserve">Ingr. 1</t>
  </si>
  <si>
    <t xml:space="preserve">Qté 1</t>
  </si>
  <si>
    <t xml:space="preserve">Ingr. 2</t>
  </si>
  <si>
    <t xml:space="preserve">Qté 2</t>
  </si>
  <si>
    <t xml:space="preserve">Ingr. 3</t>
  </si>
  <si>
    <t xml:space="preserve">Qté 3</t>
  </si>
  <si>
    <t xml:space="preserve">Ingr. 4</t>
  </si>
  <si>
    <t xml:space="preserve">Qté 4</t>
  </si>
  <si>
    <t xml:space="preserve">Temps (h)</t>
  </si>
  <si>
    <t xml:space="preserve">Coût inputs (€)</t>
  </si>
  <si>
    <t xml:space="preserve">Revenu total (€)</t>
  </si>
  <si>
    <t xml:space="preserve">Profit (€)</t>
  </si>
  <si>
    <t xml:space="preserve">Profit/h (€)</t>
  </si>
  <si>
    <t xml:space="preserve">Poids/unité (kg)</t>
  </si>
  <si>
    <t xml:space="preserve">Items/1000kg</t>
  </si>
  <si>
    <t xml:space="preserve">Profit voyage 1000kg (€)</t>
  </si>
  <si>
    <t xml:space="preserve">Profit/h/1000kg (€)</t>
  </si>
  <si>
    <t xml:space="preserve">Slots ingr.</t>
  </si>
  <si>
    <t xml:space="preserve">Workers max</t>
  </si>
  <si>
    <t xml:space="preserve">Engineers max</t>
  </si>
  <si>
    <t xml:space="preserve">Food cap.</t>
  </si>
  <si>
    <t xml:space="preserve">Recettes max</t>
  </si>
  <si>
    <t xml:space="preserve">Coût upgrade (CR)</t>
  </si>
  <si>
    <t xml:space="preserve">Temps upgrade (h)</t>
  </si>
  <si>
    <t xml:space="preserve">Items requis</t>
  </si>
  <si>
    <t xml:space="preserve">T1 (construction)</t>
  </si>
  <si>
    <t xml:space="preserve">Aucun (construction initiale)</t>
  </si>
  <si>
    <t xml:space="preserve">10× Steel Ingot + 5× Bricks</t>
  </si>
  <si>
    <t xml:space="preserve">15× Reinforced Steel + 10× Cement + 5× Glass</t>
  </si>
  <si>
    <t xml:space="preserve">20× Reinforced Steel + 10× Window Panes + 5× Wire Cable</t>
  </si>
  <si>
    <t xml:space="preserve">T5 (toutes)</t>
  </si>
  <si>
    <t xml:space="preserve">15× Steel Beam + 10× Insulation + 5× Circuit Board</t>
  </si>
  <si>
    <t xml:space="preserve">T6</t>
  </si>
  <si>
    <t xml:space="preserve">20× Steel Beam + 10× Structural Panel + 5× Electric Motor</t>
  </si>
  <si>
    <t xml:space="preserve">T7</t>
  </si>
  <si>
    <t xml:space="preserve">15× Structural Panel + 10× Armored Plate + 5× Sensor Module</t>
  </si>
  <si>
    <t xml:space="preserve">T8</t>
  </si>
  <si>
    <t xml:space="preserve">20× Armored Plate + 10× Power Supply + 5× Advanced Battery</t>
  </si>
  <si>
    <t xml:space="preserve">T9</t>
  </si>
  <si>
    <t xml:space="preserve">10× Avionics Unit + 10× Generator + 5× Industrial Robot Arm</t>
  </si>
  <si>
    <t xml:space="preserve">T10</t>
  </si>
  <si>
    <t xml:space="preserve">5× Satellite Component + 5× Flight Computer + 3× Surgical Robot</t>
  </si>
  <si>
    <t xml:space="preserve">TOTAL CUMULÉ T1→T10</t>
  </si>
  <si>
    <t xml:space="preserve">VUE D'ENSEMBLE PAR TIER</t>
  </si>
  <si>
    <t xml:space="preserve">Items</t>
  </si>
  <si>
    <t xml:space="preserve">Recettes</t>
  </si>
  <si>
    <t xml:space="preserve">Val. moy/item</t>
  </si>
  <si>
    <t xml:space="preserve">Ingr. moy</t>
  </si>
  <si>
    <t xml:space="preserve">Temps moy (h)</t>
  </si>
  <si>
    <t xml:space="preserve">Profit moy (€)</t>
  </si>
  <si>
    <t xml:space="preserve">Profit/h moy</t>
  </si>
  <si>
    <t xml:space="preserve">Profit/h/1000kg moy</t>
  </si>
  <si>
    <t xml:space="preserve">Best P/h/1000kg</t>
  </si>
  <si>
    <t xml:space="preserve">Worst P/h/1000kg</t>
  </si>
  <si>
    <t xml:space="preserve">Best P/h</t>
  </si>
  <si>
    <t xml:space="preserve">Worst P/h</t>
  </si>
  <si>
    <t xml:space="preserve">Écart</t>
  </si>
  <si>
    <t xml:space="preserve">TOTAL</t>
  </si>
  <si>
    <t xml:space="preserve">TOP 5 PAR TIER — Profit/h/1000kg (rentabilité transport)</t>
  </si>
  <si>
    <t xml:space="preserve">Rang</t>
  </si>
  <si>
    <t xml:space="preserve">Poids/u</t>
  </si>
  <si>
    <t xml:space="preserve">Profit/h</t>
  </si>
  <si>
    <t xml:space="preserve">Profit voy. 1000kg</t>
  </si>
  <si>
    <t xml:space="preserve">Profit/h/1000kg</t>
  </si>
  <si>
    <t xml:space="preserve">0.3kg</t>
  </si>
  <si>
    <t xml:space="preserve">0.5kg</t>
  </si>
  <si>
    <t xml:space="preserve">0.6kg</t>
  </si>
  <si>
    <t xml:space="preserve">0.8kg</t>
  </si>
  <si>
    <t xml:space="preserve">0.4kg</t>
  </si>
  <si>
    <t xml:space="preserve">1kg</t>
  </si>
  <si>
    <t xml:space="preserve">1.5kg</t>
  </si>
  <si>
    <t xml:space="preserve">2kg</t>
  </si>
  <si>
    <t xml:space="preserve">2.5kg</t>
  </si>
  <si>
    <t xml:space="preserve">6kg</t>
  </si>
  <si>
    <t xml:space="preserve">0.2kg</t>
  </si>
  <si>
    <t xml:space="preserve">3kg</t>
  </si>
  <si>
    <t xml:space="preserve">5kg</t>
  </si>
  <si>
    <t xml:space="preserve">12kg</t>
  </si>
  <si>
    <t xml:space="preserve">TOP 5 PIRES PAR TIER — Profit/h/1000kg</t>
  </si>
  <si>
    <t xml:space="preserve">10kg</t>
  </si>
  <si>
    <t xml:space="preserve">8kg</t>
  </si>
  <si>
    <t xml:space="preserve">15kg</t>
  </si>
  <si>
    <t xml:space="preserve">20kg</t>
  </si>
  <si>
    <t xml:space="preserve">25kg</t>
  </si>
  <si>
    <t xml:space="preserve">4kg</t>
  </si>
  <si>
    <t xml:space="preserve">18kg</t>
  </si>
  <si>
    <t xml:space="preserve">RECETTES À PERTE (profit négatif)</t>
  </si>
  <si>
    <t xml:space="preserve">Coût (€)</t>
  </si>
  <si>
    <t xml:space="preserve">Revenu (€)</t>
  </si>
  <si>
    <t xml:space="preserve">Perte (€)</t>
  </si>
  <si>
    <t xml:space="preserve">Perte/h</t>
  </si>
  <si>
    <t xml:space="preserve">Perte/h/1000kg</t>
  </si>
  <si>
    <t xml:space="preserve">Action suggérée</t>
  </si>
  <si>
    <t xml:space="preserve">↑ prix vente ou ↓ coût ingrédients</t>
  </si>
  <si>
    <t xml:space="preserve">ÉQUILIBRE GAMEPLAY — Indicateurs clés</t>
  </si>
  <si>
    <t xml:space="preserve">Ratio Profit/h/1000kg T5 vs T1</t>
  </si>
  <si>
    <t xml:space="preserve">9.9x</t>
  </si>
  <si>
    <t xml:space="preserve">Ratio Profit/h brut T5 vs T1</t>
  </si>
  <si>
    <t xml:space="preserve">1.3x</t>
  </si>
  <si>
    <t xml:space="preserve">Écart-type Profit/h/1000kg T1</t>
  </si>
  <si>
    <t xml:space="preserve">13435.0€</t>
  </si>
  <si>
    <t xml:space="preserve">Écart-type Profit/h/1000kg T2</t>
  </si>
  <si>
    <t xml:space="preserve">11494.0€</t>
  </si>
  <si>
    <t xml:space="preserve">Écart-type Profit/h/1000kg T3</t>
  </si>
  <si>
    <t xml:space="preserve">11876.0€</t>
  </si>
  <si>
    <t xml:space="preserve">Écart-type Profit/h/1000kg T4</t>
  </si>
  <si>
    <t xml:space="preserve">6619.0€</t>
  </si>
  <si>
    <t xml:space="preserve">Écart-type Profit/h/1000kg T5</t>
  </si>
  <si>
    <t xml:space="preserve">241465.0€</t>
  </si>
  <si>
    <t xml:space="preserve">Meilleure recette (Profit/h/1000kg)</t>
  </si>
  <si>
    <t xml:space="preserve">Luxury Watch (T5) — 814375.0€/h/1t</t>
  </si>
  <si>
    <t xml:space="preserve">Meilleure recette (Profit/h brut)</t>
  </si>
  <si>
    <t xml:space="preserve">Wire Cable (T2) — 354€/h</t>
  </si>
  <si>
    <t xml:space="preserve">Pire recette (Profit/h/1000kg)</t>
  </si>
  <si>
    <t xml:space="preserve">Armored Plate (T3) — -2148.0€/h/1t</t>
  </si>
  <si>
    <t xml:space="preserve">Recettes à perte</t>
  </si>
  <si>
    <t xml:space="preserve">3 recettes</t>
  </si>
  <si>
    <t xml:space="preserve">Temps rentabiliser usine T5 (775k CR)</t>
  </si>
  <si>
    <t xml:space="preserve">9.0h (0.4 jours)</t>
  </si>
  <si>
    <t xml:space="preserve">Temps rentabiliser usine T10 (7.8M CR)</t>
  </si>
  <si>
    <t xml:space="preserve">87.0h (3.6 jours)</t>
  </si>
  <si>
    <t xml:space="preserve">RECOMMANDATIONS</t>
  </si>
  <si>
    <t xml:space="preserve">Écart-type élevé = déséquilibre</t>
  </si>
  <si>
    <t xml:space="preserve">Réduire écart entre best/worst dans chaque tier</t>
  </si>
  <si>
    <t xml:space="preserve">Ratio T5/T1 idéal</t>
  </si>
  <si>
    <t xml:space="preserve">3x-5x (trop haut = T1 inutile, trop bas = T5 pas worth)</t>
  </si>
  <si>
    <t xml:space="preserve">OK si stratégique (Nuclear Fuel Rod) sinon ajuster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</si>
</sst>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2E8F0"/>
      <name val="Arial"/>
      <family val="0"/>
      <charset val="1"/>
    </font>
    <font>
      <sz val="10"/>
      <color rgb="FF94A3B8"/>
      <name val="Arial"/>
      <family val="0"/>
      <charset val="1"/>
    </font>
    <font>
      <sz val="10"/>
      <color rgb="FF4ADE80"/>
      <name val="Arial"/>
      <family val="0"/>
      <charset val="1"/>
    </font>
    <font>
      <sz val="10"/>
      <color rgb="FF86EFAC"/>
      <name val="Arial"/>
      <family val="0"/>
      <charset val="1"/>
    </font>
    <font>
      <sz val="10"/>
      <color rgb="FF93C5FD"/>
      <name val="Arial"/>
      <family val="0"/>
      <charset val="1"/>
    </font>
    <font>
      <sz val="10"/>
      <color rgb="FFC084FC"/>
      <name val="Arial"/>
      <family val="0"/>
      <charset val="1"/>
    </font>
    <font>
      <sz val="10"/>
      <color rgb="FFFCD34D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2"/>
      <color rgb="FF60A5FA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sz val="10"/>
      <color rgb="FFFCA5A5"/>
      <name val="Arial"/>
      <family val="0"/>
      <charset val="1"/>
    </font>
    <font>
      <b val="true"/>
      <sz val="10"/>
      <color rgb="FFE2E8F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34155"/>
        <bgColor rgb="FF1E3A5F"/>
      </patternFill>
    </fill>
    <fill>
      <patternFill patternType="solid">
        <fgColor rgb="FF14532D"/>
        <bgColor rgb="FF166534"/>
      </patternFill>
    </fill>
    <fill>
      <patternFill patternType="solid">
        <fgColor rgb="FF166534"/>
        <bgColor rgb="FF14532D"/>
      </patternFill>
    </fill>
    <fill>
      <patternFill patternType="solid">
        <fgColor rgb="FF1E3A5F"/>
        <bgColor rgb="FF334155"/>
      </patternFill>
    </fill>
    <fill>
      <patternFill patternType="solid">
        <fgColor rgb="FF3B1F6E"/>
        <bgColor rgb="FF1E293B"/>
      </patternFill>
    </fill>
    <fill>
      <patternFill patternType="solid">
        <fgColor rgb="FF78350F"/>
        <bgColor rgb="FF993366"/>
      </patternFill>
    </fill>
    <fill>
      <patternFill patternType="solid">
        <fgColor rgb="FF1E293B"/>
        <bgColor rgb="FF0F172A"/>
      </patternFill>
    </fill>
    <fill>
      <patternFill patternType="solid">
        <fgColor rgb="FF450A0A"/>
        <bgColor rgb="FF0F172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F172A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3B1F6E"/>
          <bgColor rgb="FF000000"/>
        </patternFill>
      </fill>
    </dxf>
    <dxf>
      <fill>
        <patternFill patternType="solid">
          <fgColor rgb="FF78350F"/>
          <bgColor rgb="FF000000"/>
        </patternFill>
      </fill>
    </dxf>
    <dxf>
      <fill>
        <patternFill patternType="solid">
          <fgColor rgb="FF4ADE80"/>
          <bgColor rgb="FF000000"/>
        </patternFill>
      </fill>
    </dxf>
    <dxf>
      <fill>
        <patternFill patternType="solid">
          <fgColor rgb="FF86EFAC"/>
          <bgColor rgb="FF000000"/>
        </patternFill>
      </fill>
    </dxf>
    <dxf>
      <fill>
        <patternFill patternType="solid">
          <fgColor rgb="FF93C5FD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C084FC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CD34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50A0A"/>
      <rgbColor rgb="FF166534"/>
      <rgbColor rgb="FF000080"/>
      <rgbColor rgb="FF808000"/>
      <rgbColor rgb="FF800080"/>
      <rgbColor rgb="FF14532D"/>
      <rgbColor rgb="FFC0C0C0"/>
      <rgbColor rgb="FF808080"/>
      <rgbColor rgb="FF60A5FA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6EFAC"/>
      <rgbColor rgb="FFFFFF99"/>
      <rgbColor rgb="FF93C5FD"/>
      <rgbColor rgb="FFFCA5A5"/>
      <rgbColor rgb="FFC084FC"/>
      <rgbColor rgb="FFFCD34D"/>
      <rgbColor rgb="FF3B82F6"/>
      <rgbColor rgb="FF4ADE80"/>
      <rgbColor rgb="FF99CC00"/>
      <rgbColor rgb="FFFFCC00"/>
      <rgbColor rgb="FFF59E0B"/>
      <rgbColor rgb="FFEF4444"/>
      <rgbColor rgb="FF475569"/>
      <rgbColor rgb="FF94A3B8"/>
      <rgbColor rgb="FF1E3A5F"/>
      <rgbColor rgb="FF22C55E"/>
      <rgbColor rgb="FF0F172A"/>
      <rgbColor rgb="FF334155"/>
      <rgbColor rgb="FF78350F"/>
      <rgbColor rgb="FF993366"/>
      <rgbColor rgb="FF3B1F6E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H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8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40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8</v>
      </c>
      <c r="F2" s="3" t="n">
        <v>1.5</v>
      </c>
      <c r="G2" s="3" t="s">
        <v>12</v>
      </c>
      <c r="H2" s="3" t="s">
        <v>13</v>
      </c>
    </row>
    <row r="3" customFormat="false" ht="15" hidden="false" customHeight="true" outlineLevel="0" collapsed="false">
      <c r="A3" s="3" t="s">
        <v>14</v>
      </c>
      <c r="B3" s="3" t="s">
        <v>15</v>
      </c>
      <c r="C3" s="3" t="s">
        <v>10</v>
      </c>
      <c r="D3" s="3" t="s">
        <v>11</v>
      </c>
      <c r="E3" s="3" t="n">
        <v>12</v>
      </c>
      <c r="F3" s="3" t="n">
        <v>2.5</v>
      </c>
      <c r="G3" s="3" t="s">
        <v>16</v>
      </c>
      <c r="H3" s="3" t="s">
        <v>13</v>
      </c>
    </row>
    <row r="4" customFormat="false" ht="15" hidden="false" customHeight="true" outlineLevel="0" collapsed="false">
      <c r="A4" s="3" t="s">
        <v>17</v>
      </c>
      <c r="B4" s="3" t="s">
        <v>18</v>
      </c>
      <c r="C4" s="3" t="s">
        <v>10</v>
      </c>
      <c r="D4" s="3" t="s">
        <v>11</v>
      </c>
      <c r="E4" s="3" t="n">
        <v>4</v>
      </c>
      <c r="F4" s="3" t="n">
        <v>2</v>
      </c>
      <c r="G4" s="3" t="s">
        <v>16</v>
      </c>
      <c r="H4" s="3" t="s">
        <v>13</v>
      </c>
    </row>
    <row r="5" customFormat="false" ht="15" hidden="false" customHeight="true" outlineLevel="0" collapsed="false">
      <c r="A5" s="3" t="s">
        <v>19</v>
      </c>
      <c r="B5" s="3" t="s">
        <v>20</v>
      </c>
      <c r="C5" s="3" t="s">
        <v>10</v>
      </c>
      <c r="D5" s="3" t="s">
        <v>11</v>
      </c>
      <c r="E5" s="3" t="n">
        <v>10</v>
      </c>
      <c r="F5" s="3" t="n">
        <v>2</v>
      </c>
      <c r="G5" s="3" t="s">
        <v>16</v>
      </c>
      <c r="H5" s="3" t="s">
        <v>13</v>
      </c>
    </row>
    <row r="6" customFormat="false" ht="15" hidden="false" customHeight="true" outlineLevel="0" collapsed="false">
      <c r="A6" s="3" t="s">
        <v>21</v>
      </c>
      <c r="B6" s="3" t="s">
        <v>22</v>
      </c>
      <c r="C6" s="3" t="s">
        <v>10</v>
      </c>
      <c r="D6" s="3" t="s">
        <v>11</v>
      </c>
      <c r="E6" s="3" t="n">
        <v>6</v>
      </c>
      <c r="F6" s="3" t="n">
        <v>1.2</v>
      </c>
      <c r="G6" s="3" t="s">
        <v>23</v>
      </c>
      <c r="H6" s="3" t="s">
        <v>13</v>
      </c>
    </row>
    <row r="7" customFormat="false" ht="15" hidden="false" customHeight="true" outlineLevel="0" collapsed="false">
      <c r="A7" s="3" t="s">
        <v>24</v>
      </c>
      <c r="B7" s="3" t="s">
        <v>25</v>
      </c>
      <c r="C7" s="3" t="s">
        <v>10</v>
      </c>
      <c r="D7" s="3" t="s">
        <v>11</v>
      </c>
      <c r="E7" s="3" t="n">
        <v>5</v>
      </c>
      <c r="F7" s="3" t="n">
        <v>1</v>
      </c>
      <c r="G7" s="3" t="s">
        <v>23</v>
      </c>
      <c r="H7" s="3" t="s">
        <v>13</v>
      </c>
    </row>
    <row r="8" customFormat="false" ht="15" hidden="false" customHeight="true" outlineLevel="0" collapsed="false">
      <c r="A8" s="3" t="s">
        <v>26</v>
      </c>
      <c r="B8" s="3" t="s">
        <v>27</v>
      </c>
      <c r="C8" s="3" t="s">
        <v>10</v>
      </c>
      <c r="D8" s="3" t="s">
        <v>11</v>
      </c>
      <c r="E8" s="3" t="n">
        <v>3</v>
      </c>
      <c r="F8" s="3" t="n">
        <v>0.5</v>
      </c>
      <c r="G8" s="3" t="s">
        <v>16</v>
      </c>
      <c r="H8" s="3" t="s">
        <v>13</v>
      </c>
    </row>
    <row r="9" customFormat="false" ht="15" hidden="false" customHeight="true" outlineLevel="0" collapsed="false">
      <c r="A9" s="3" t="s">
        <v>28</v>
      </c>
      <c r="B9" s="3" t="s">
        <v>29</v>
      </c>
      <c r="C9" s="3" t="s">
        <v>10</v>
      </c>
      <c r="D9" s="3" t="s">
        <v>11</v>
      </c>
      <c r="E9" s="3" t="n">
        <v>4</v>
      </c>
      <c r="F9" s="3" t="n">
        <v>0.8</v>
      </c>
      <c r="G9" s="3" t="s">
        <v>23</v>
      </c>
      <c r="H9" s="3" t="s">
        <v>13</v>
      </c>
    </row>
    <row r="10" customFormat="false" ht="15" hidden="false" customHeight="true" outlineLevel="0" collapsed="false">
      <c r="A10" s="3" t="s">
        <v>30</v>
      </c>
      <c r="B10" s="3" t="s">
        <v>31</v>
      </c>
      <c r="C10" s="3" t="s">
        <v>10</v>
      </c>
      <c r="D10" s="3" t="s">
        <v>11</v>
      </c>
      <c r="E10" s="3" t="n">
        <v>8</v>
      </c>
      <c r="F10" s="3" t="n">
        <v>0.3</v>
      </c>
      <c r="G10" s="3" t="s">
        <v>32</v>
      </c>
      <c r="H10" s="3" t="s">
        <v>13</v>
      </c>
    </row>
    <row r="11" customFormat="false" ht="15" hidden="false" customHeight="true" outlineLevel="0" collapsed="false">
      <c r="A11" s="3" t="s">
        <v>33</v>
      </c>
      <c r="B11" s="3" t="s">
        <v>34</v>
      </c>
      <c r="C11" s="3" t="s">
        <v>10</v>
      </c>
      <c r="D11" s="3" t="s">
        <v>11</v>
      </c>
      <c r="E11" s="3" t="n">
        <v>10</v>
      </c>
      <c r="F11" s="3" t="n">
        <v>0.3</v>
      </c>
      <c r="G11" s="3" t="s">
        <v>32</v>
      </c>
      <c r="H11" s="3" t="s">
        <v>13</v>
      </c>
    </row>
    <row r="12" customFormat="false" ht="15" hidden="false" customHeight="true" outlineLevel="0" collapsed="false">
      <c r="A12" s="3" t="s">
        <v>35</v>
      </c>
      <c r="B12" s="3" t="s">
        <v>36</v>
      </c>
      <c r="C12" s="3" t="s">
        <v>10</v>
      </c>
      <c r="D12" s="3" t="s">
        <v>11</v>
      </c>
      <c r="E12" s="3" t="n">
        <v>15</v>
      </c>
      <c r="F12" s="3" t="n">
        <v>1</v>
      </c>
      <c r="G12" s="3" t="s">
        <v>23</v>
      </c>
      <c r="H12" s="3" t="s">
        <v>13</v>
      </c>
    </row>
    <row r="13" customFormat="false" ht="15" hidden="false" customHeight="true" outlineLevel="0" collapsed="false">
      <c r="A13" s="3" t="s">
        <v>37</v>
      </c>
      <c r="B13" s="3" t="s">
        <v>38</v>
      </c>
      <c r="C13" s="3" t="s">
        <v>10</v>
      </c>
      <c r="D13" s="3" t="s">
        <v>11</v>
      </c>
      <c r="E13" s="3" t="n">
        <v>7</v>
      </c>
      <c r="F13" s="3" t="n">
        <v>1</v>
      </c>
      <c r="G13" s="3" t="s">
        <v>23</v>
      </c>
      <c r="H13" s="3" t="s">
        <v>13</v>
      </c>
    </row>
    <row r="14" customFormat="false" ht="15" hidden="false" customHeight="true" outlineLevel="0" collapsed="false">
      <c r="A14" s="3" t="s">
        <v>39</v>
      </c>
      <c r="B14" s="3" t="s">
        <v>40</v>
      </c>
      <c r="C14" s="3" t="s">
        <v>10</v>
      </c>
      <c r="D14" s="3" t="s">
        <v>11</v>
      </c>
      <c r="E14" s="3" t="n">
        <v>50</v>
      </c>
      <c r="F14" s="3" t="n">
        <v>0.5</v>
      </c>
      <c r="G14" s="3" t="s">
        <v>23</v>
      </c>
      <c r="H14" s="3" t="s">
        <v>13</v>
      </c>
    </row>
    <row r="15" customFormat="false" ht="15" hidden="false" customHeight="true" outlineLevel="0" collapsed="false">
      <c r="A15" s="3" t="s">
        <v>41</v>
      </c>
      <c r="B15" s="3" t="s">
        <v>42</v>
      </c>
      <c r="C15" s="3" t="s">
        <v>10</v>
      </c>
      <c r="D15" s="3" t="s">
        <v>11</v>
      </c>
      <c r="E15" s="3" t="n">
        <v>1</v>
      </c>
      <c r="F15" s="3" t="n">
        <v>1</v>
      </c>
      <c r="G15" s="3" t="s">
        <v>43</v>
      </c>
      <c r="H15" s="3" t="s">
        <v>13</v>
      </c>
    </row>
    <row r="16" customFormat="false" ht="15" hidden="false" customHeight="true" outlineLevel="0" collapsed="false">
      <c r="A16" s="3" t="s">
        <v>44</v>
      </c>
      <c r="B16" s="3" t="s">
        <v>45</v>
      </c>
      <c r="C16" s="3" t="s">
        <v>10</v>
      </c>
      <c r="D16" s="3" t="s">
        <v>46</v>
      </c>
      <c r="E16" s="3" t="n">
        <v>15</v>
      </c>
      <c r="F16" s="3" t="n">
        <v>5</v>
      </c>
      <c r="G16" s="3" t="s">
        <v>47</v>
      </c>
      <c r="H16" s="3" t="s">
        <v>13</v>
      </c>
    </row>
    <row r="17" customFormat="false" ht="15" hidden="false" customHeight="true" outlineLevel="0" collapsed="false">
      <c r="A17" s="3" t="s">
        <v>48</v>
      </c>
      <c r="B17" s="3" t="s">
        <v>49</v>
      </c>
      <c r="C17" s="3" t="s">
        <v>10</v>
      </c>
      <c r="D17" s="3" t="s">
        <v>46</v>
      </c>
      <c r="E17" s="3" t="n">
        <v>10</v>
      </c>
      <c r="F17" s="3" t="n">
        <v>3</v>
      </c>
      <c r="G17" s="3" t="s">
        <v>50</v>
      </c>
      <c r="H17" s="3" t="s">
        <v>13</v>
      </c>
    </row>
    <row r="18" customFormat="false" ht="15" hidden="false" customHeight="true" outlineLevel="0" collapsed="false">
      <c r="A18" s="3" t="s">
        <v>51</v>
      </c>
      <c r="B18" s="3" t="s">
        <v>52</v>
      </c>
      <c r="C18" s="3" t="s">
        <v>10</v>
      </c>
      <c r="D18" s="3" t="s">
        <v>46</v>
      </c>
      <c r="E18" s="3" t="n">
        <v>12</v>
      </c>
      <c r="F18" s="3" t="n">
        <v>4</v>
      </c>
      <c r="G18" s="3" t="s">
        <v>53</v>
      </c>
      <c r="H18" s="3" t="s">
        <v>13</v>
      </c>
    </row>
    <row r="19" customFormat="false" ht="15" hidden="false" customHeight="true" outlineLevel="0" collapsed="false">
      <c r="A19" s="3" t="s">
        <v>54</v>
      </c>
      <c r="B19" s="3" t="s">
        <v>55</v>
      </c>
      <c r="C19" s="3" t="s">
        <v>10</v>
      </c>
      <c r="D19" s="3" t="s">
        <v>46</v>
      </c>
      <c r="E19" s="3" t="n">
        <v>18</v>
      </c>
      <c r="F19" s="3" t="n">
        <v>4.5</v>
      </c>
      <c r="G19" s="3" t="s">
        <v>47</v>
      </c>
      <c r="H19" s="3" t="s">
        <v>13</v>
      </c>
    </row>
    <row r="20" customFormat="false" ht="15" hidden="false" customHeight="true" outlineLevel="0" collapsed="false">
      <c r="A20" s="3" t="s">
        <v>56</v>
      </c>
      <c r="B20" s="3" t="s">
        <v>57</v>
      </c>
      <c r="C20" s="3" t="s">
        <v>10</v>
      </c>
      <c r="D20" s="3" t="s">
        <v>46</v>
      </c>
      <c r="E20" s="3" t="n">
        <v>45</v>
      </c>
      <c r="F20" s="3" t="n">
        <v>3.5</v>
      </c>
      <c r="G20" s="3" t="s">
        <v>47</v>
      </c>
      <c r="H20" s="3" t="s">
        <v>13</v>
      </c>
    </row>
    <row r="21" customFormat="false" ht="15" hidden="false" customHeight="true" outlineLevel="0" collapsed="false">
      <c r="A21" s="3" t="s">
        <v>58</v>
      </c>
      <c r="B21" s="3" t="s">
        <v>59</v>
      </c>
      <c r="C21" s="3" t="s">
        <v>10</v>
      </c>
      <c r="D21" s="3" t="s">
        <v>46</v>
      </c>
      <c r="E21" s="3" t="n">
        <v>30</v>
      </c>
      <c r="F21" s="3" t="n">
        <v>2</v>
      </c>
      <c r="G21" s="3" t="s">
        <v>60</v>
      </c>
      <c r="H21" s="3" t="s">
        <v>13</v>
      </c>
    </row>
    <row r="22" customFormat="false" ht="15" hidden="false" customHeight="true" outlineLevel="0" collapsed="false">
      <c r="A22" s="3" t="s">
        <v>61</v>
      </c>
      <c r="B22" s="3" t="s">
        <v>62</v>
      </c>
      <c r="C22" s="3" t="s">
        <v>10</v>
      </c>
      <c r="D22" s="3" t="s">
        <v>46</v>
      </c>
      <c r="E22" s="3" t="n">
        <v>80</v>
      </c>
      <c r="F22" s="3" t="n">
        <v>3</v>
      </c>
      <c r="G22" s="3" t="s">
        <v>63</v>
      </c>
      <c r="H22" s="3" t="s">
        <v>13</v>
      </c>
    </row>
    <row r="23" customFormat="false" ht="15" hidden="false" customHeight="true" outlineLevel="0" collapsed="false">
      <c r="A23" s="3" t="s">
        <v>64</v>
      </c>
      <c r="B23" s="3" t="s">
        <v>65</v>
      </c>
      <c r="C23" s="3" t="s">
        <v>10</v>
      </c>
      <c r="D23" s="3" t="s">
        <v>46</v>
      </c>
      <c r="E23" s="3" t="n">
        <v>100</v>
      </c>
      <c r="F23" s="3" t="n">
        <v>8</v>
      </c>
      <c r="G23" s="3" t="s">
        <v>66</v>
      </c>
      <c r="H23" s="3" t="s">
        <v>13</v>
      </c>
    </row>
    <row r="24" customFormat="false" ht="15" hidden="false" customHeight="true" outlineLevel="0" collapsed="false">
      <c r="A24" s="3" t="s">
        <v>67</v>
      </c>
      <c r="B24" s="3" t="s">
        <v>68</v>
      </c>
      <c r="C24" s="3" t="s">
        <v>10</v>
      </c>
      <c r="D24" s="3" t="s">
        <v>46</v>
      </c>
      <c r="E24" s="3" t="n">
        <v>5</v>
      </c>
      <c r="F24" s="3" t="n">
        <v>10</v>
      </c>
      <c r="G24" s="3" t="s">
        <v>47</v>
      </c>
      <c r="H24" s="3" t="s">
        <v>13</v>
      </c>
    </row>
    <row r="25" customFormat="false" ht="15" hidden="false" customHeight="true" outlineLevel="0" collapsed="false">
      <c r="A25" s="3" t="s">
        <v>69</v>
      </c>
      <c r="B25" s="3" t="s">
        <v>70</v>
      </c>
      <c r="C25" s="3" t="s">
        <v>10</v>
      </c>
      <c r="D25" s="3" t="s">
        <v>46</v>
      </c>
      <c r="E25" s="3" t="n">
        <v>10</v>
      </c>
      <c r="F25" s="3" t="n">
        <v>12</v>
      </c>
      <c r="G25" s="3" t="s">
        <v>47</v>
      </c>
      <c r="H25" s="3" t="s">
        <v>13</v>
      </c>
    </row>
    <row r="26" customFormat="false" ht="15" hidden="false" customHeight="true" outlineLevel="0" collapsed="false">
      <c r="A26" s="3" t="s">
        <v>71</v>
      </c>
      <c r="B26" s="3" t="s">
        <v>72</v>
      </c>
      <c r="C26" s="3" t="s">
        <v>10</v>
      </c>
      <c r="D26" s="3" t="s">
        <v>46</v>
      </c>
      <c r="E26" s="3" t="n">
        <v>6</v>
      </c>
      <c r="F26" s="3" t="n">
        <v>8</v>
      </c>
      <c r="G26" s="3" t="s">
        <v>47</v>
      </c>
      <c r="H26" s="3" t="s">
        <v>13</v>
      </c>
    </row>
    <row r="27" customFormat="false" ht="15" hidden="false" customHeight="true" outlineLevel="0" collapsed="false">
      <c r="A27" s="3" t="s">
        <v>73</v>
      </c>
      <c r="B27" s="3" t="s">
        <v>74</v>
      </c>
      <c r="C27" s="3" t="s">
        <v>10</v>
      </c>
      <c r="D27" s="3" t="s">
        <v>46</v>
      </c>
      <c r="E27" s="3" t="n">
        <v>4</v>
      </c>
      <c r="F27" s="3" t="n">
        <v>2.5</v>
      </c>
      <c r="G27" s="3" t="s">
        <v>47</v>
      </c>
      <c r="H27" s="3" t="s">
        <v>13</v>
      </c>
    </row>
    <row r="28" customFormat="false" ht="15" hidden="false" customHeight="true" outlineLevel="0" collapsed="false">
      <c r="A28" s="3" t="s">
        <v>75</v>
      </c>
      <c r="B28" s="3" t="s">
        <v>76</v>
      </c>
      <c r="C28" s="3" t="s">
        <v>10</v>
      </c>
      <c r="D28" s="3" t="s">
        <v>46</v>
      </c>
      <c r="E28" s="3" t="n">
        <v>3</v>
      </c>
      <c r="F28" s="3" t="n">
        <v>2</v>
      </c>
      <c r="G28" s="3" t="s">
        <v>47</v>
      </c>
      <c r="H28" s="3" t="s">
        <v>13</v>
      </c>
    </row>
    <row r="29" customFormat="false" ht="15" hidden="false" customHeight="true" outlineLevel="0" collapsed="false">
      <c r="A29" s="3" t="s">
        <v>77</v>
      </c>
      <c r="B29" s="3" t="s">
        <v>78</v>
      </c>
      <c r="C29" s="3" t="s">
        <v>10</v>
      </c>
      <c r="D29" s="3" t="s">
        <v>46</v>
      </c>
      <c r="E29" s="3" t="n">
        <v>20</v>
      </c>
      <c r="F29" s="3" t="n">
        <v>2</v>
      </c>
      <c r="G29" s="3" t="s">
        <v>47</v>
      </c>
      <c r="H29" s="3" t="s">
        <v>13</v>
      </c>
    </row>
    <row r="30" customFormat="false" ht="15" hidden="false" customHeight="true" outlineLevel="0" collapsed="false">
      <c r="A30" s="3" t="s">
        <v>79</v>
      </c>
      <c r="B30" s="3" t="s">
        <v>80</v>
      </c>
      <c r="C30" s="3" t="s">
        <v>10</v>
      </c>
      <c r="D30" s="3" t="s">
        <v>46</v>
      </c>
      <c r="E30" s="3" t="n">
        <v>5</v>
      </c>
      <c r="F30" s="3" t="n">
        <v>1</v>
      </c>
      <c r="G30" s="3" t="s">
        <v>81</v>
      </c>
      <c r="H30" s="3" t="s">
        <v>13</v>
      </c>
    </row>
    <row r="31" customFormat="false" ht="15" hidden="false" customHeight="true" outlineLevel="0" collapsed="false">
      <c r="A31" s="3" t="s">
        <v>82</v>
      </c>
      <c r="B31" s="3" t="s">
        <v>83</v>
      </c>
      <c r="C31" s="3" t="s">
        <v>10</v>
      </c>
      <c r="D31" s="3" t="s">
        <v>46</v>
      </c>
      <c r="E31" s="3" t="n">
        <v>10</v>
      </c>
      <c r="F31" s="3" t="n">
        <v>3</v>
      </c>
      <c r="G31" s="3" t="s">
        <v>84</v>
      </c>
      <c r="H31" s="3" t="s">
        <v>13</v>
      </c>
    </row>
    <row r="32" customFormat="false" ht="15" hidden="false" customHeight="true" outlineLevel="0" collapsed="false">
      <c r="A32" s="3" t="s">
        <v>85</v>
      </c>
      <c r="B32" s="3" t="s">
        <v>86</v>
      </c>
      <c r="C32" s="3" t="s">
        <v>10</v>
      </c>
      <c r="D32" s="3" t="s">
        <v>46</v>
      </c>
      <c r="E32" s="3" t="n">
        <v>15</v>
      </c>
      <c r="F32" s="3" t="n">
        <v>2.5</v>
      </c>
      <c r="G32" s="3" t="s">
        <v>84</v>
      </c>
      <c r="H32" s="3" t="s">
        <v>13</v>
      </c>
    </row>
    <row r="33" customFormat="false" ht="15" hidden="false" customHeight="true" outlineLevel="0" collapsed="false">
      <c r="A33" s="3" t="s">
        <v>87</v>
      </c>
      <c r="B33" s="3" t="s">
        <v>88</v>
      </c>
      <c r="C33" s="3" t="s">
        <v>10</v>
      </c>
      <c r="D33" s="3" t="s">
        <v>89</v>
      </c>
      <c r="E33" s="3" t="n">
        <v>25</v>
      </c>
      <c r="F33" s="3" t="n">
        <v>5</v>
      </c>
      <c r="G33" s="3" t="s">
        <v>90</v>
      </c>
      <c r="H33" s="3" t="s">
        <v>13</v>
      </c>
    </row>
    <row r="34" customFormat="false" ht="15" hidden="false" customHeight="true" outlineLevel="0" collapsed="false">
      <c r="A34" s="3" t="s">
        <v>91</v>
      </c>
      <c r="B34" s="3" t="s">
        <v>92</v>
      </c>
      <c r="C34" s="3" t="s">
        <v>10</v>
      </c>
      <c r="D34" s="3" t="s">
        <v>89</v>
      </c>
      <c r="E34" s="3" t="n">
        <v>20</v>
      </c>
      <c r="F34" s="3" t="n">
        <v>1</v>
      </c>
      <c r="G34" s="3" t="s">
        <v>90</v>
      </c>
      <c r="H34" s="3" t="s">
        <v>13</v>
      </c>
    </row>
    <row r="35" customFormat="false" ht="15" hidden="false" customHeight="true" outlineLevel="0" collapsed="false">
      <c r="A35" s="3" t="s">
        <v>93</v>
      </c>
      <c r="B35" s="3" t="s">
        <v>94</v>
      </c>
      <c r="C35" s="3" t="s">
        <v>10</v>
      </c>
      <c r="D35" s="3" t="s">
        <v>89</v>
      </c>
      <c r="E35" s="3" t="n">
        <v>5</v>
      </c>
      <c r="F35" s="3" t="n">
        <v>2</v>
      </c>
      <c r="G35" s="3" t="s">
        <v>95</v>
      </c>
      <c r="H35" s="3" t="s">
        <v>13</v>
      </c>
    </row>
    <row r="36" customFormat="false" ht="15" hidden="false" customHeight="true" outlineLevel="0" collapsed="false">
      <c r="A36" s="3" t="s">
        <v>96</v>
      </c>
      <c r="B36" s="3" t="s">
        <v>97</v>
      </c>
      <c r="C36" s="3" t="s">
        <v>10</v>
      </c>
      <c r="D36" s="3" t="s">
        <v>98</v>
      </c>
      <c r="E36" s="3" t="n">
        <v>8</v>
      </c>
      <c r="F36" s="3" t="n">
        <v>3</v>
      </c>
      <c r="G36" s="3" t="s">
        <v>99</v>
      </c>
      <c r="H36" s="3" t="s">
        <v>13</v>
      </c>
    </row>
    <row r="37" customFormat="false" ht="15" hidden="false" customHeight="true" outlineLevel="0" collapsed="false">
      <c r="A37" s="3" t="s">
        <v>100</v>
      </c>
      <c r="B37" s="3" t="s">
        <v>101</v>
      </c>
      <c r="C37" s="3" t="s">
        <v>10</v>
      </c>
      <c r="D37" s="3" t="s">
        <v>98</v>
      </c>
      <c r="E37" s="3" t="n">
        <v>8</v>
      </c>
      <c r="F37" s="3" t="n">
        <v>1</v>
      </c>
      <c r="G37" s="3" t="s">
        <v>102</v>
      </c>
      <c r="H37" s="3" t="s">
        <v>13</v>
      </c>
    </row>
    <row r="38" customFormat="false" ht="15" hidden="false" customHeight="true" outlineLevel="0" collapsed="false">
      <c r="A38" s="3" t="s">
        <v>103</v>
      </c>
      <c r="B38" s="3" t="s">
        <v>104</v>
      </c>
      <c r="C38" s="3" t="s">
        <v>10</v>
      </c>
      <c r="D38" s="3" t="s">
        <v>98</v>
      </c>
      <c r="E38" s="3" t="n">
        <v>12</v>
      </c>
      <c r="F38" s="3" t="n">
        <v>1.5</v>
      </c>
      <c r="G38" s="3" t="s">
        <v>99</v>
      </c>
      <c r="H38" s="3" t="s">
        <v>13</v>
      </c>
    </row>
    <row r="39" customFormat="false" ht="15" hidden="false" customHeight="true" outlineLevel="0" collapsed="false">
      <c r="A39" s="3" t="s">
        <v>105</v>
      </c>
      <c r="B39" s="3" t="s">
        <v>106</v>
      </c>
      <c r="C39" s="3" t="s">
        <v>10</v>
      </c>
      <c r="D39" s="3" t="s">
        <v>98</v>
      </c>
      <c r="E39" s="3" t="n">
        <v>0.5</v>
      </c>
      <c r="F39" s="3" t="n">
        <v>1</v>
      </c>
      <c r="G39" s="3" t="s">
        <v>107</v>
      </c>
      <c r="H39" s="3" t="s">
        <v>13</v>
      </c>
    </row>
    <row r="40" customFormat="false" ht="15" hidden="false" customHeight="true" outlineLevel="0" collapsed="false">
      <c r="A40" s="4" t="s">
        <v>108</v>
      </c>
      <c r="B40" s="4" t="s">
        <v>109</v>
      </c>
      <c r="C40" s="4" t="s">
        <v>110</v>
      </c>
      <c r="D40" s="4" t="s">
        <v>111</v>
      </c>
      <c r="E40" s="4" t="n">
        <v>55</v>
      </c>
      <c r="F40" s="4" t="n">
        <v>4</v>
      </c>
      <c r="G40" s="4" t="s">
        <v>112</v>
      </c>
      <c r="H40" s="4" t="s">
        <v>13</v>
      </c>
    </row>
    <row r="41" customFormat="false" ht="15" hidden="false" customHeight="true" outlineLevel="0" collapsed="false">
      <c r="A41" s="4" t="s">
        <v>113</v>
      </c>
      <c r="B41" s="4" t="s">
        <v>114</v>
      </c>
      <c r="C41" s="4" t="s">
        <v>110</v>
      </c>
      <c r="D41" s="4" t="s">
        <v>111</v>
      </c>
      <c r="E41" s="4" t="n">
        <v>38</v>
      </c>
      <c r="F41" s="4" t="n">
        <v>6</v>
      </c>
      <c r="G41" s="4" t="s">
        <v>115</v>
      </c>
      <c r="H41" s="4" t="s">
        <v>13</v>
      </c>
    </row>
    <row r="42" customFormat="false" ht="15" hidden="false" customHeight="true" outlineLevel="0" collapsed="false">
      <c r="A42" s="4" t="s">
        <v>116</v>
      </c>
      <c r="B42" s="4" t="s">
        <v>117</v>
      </c>
      <c r="C42" s="4" t="s">
        <v>110</v>
      </c>
      <c r="D42" s="4" t="s">
        <v>111</v>
      </c>
      <c r="E42" s="4" t="n">
        <v>45</v>
      </c>
      <c r="F42" s="4" t="n">
        <v>8</v>
      </c>
      <c r="G42" s="4" t="s">
        <v>118</v>
      </c>
      <c r="H42" s="4" t="s">
        <v>13</v>
      </c>
    </row>
    <row r="43" customFormat="false" ht="15" hidden="false" customHeight="true" outlineLevel="0" collapsed="false">
      <c r="A43" s="4" t="s">
        <v>119</v>
      </c>
      <c r="B43" s="4" t="s">
        <v>120</v>
      </c>
      <c r="C43" s="4" t="s">
        <v>110</v>
      </c>
      <c r="D43" s="4" t="s">
        <v>111</v>
      </c>
      <c r="E43" s="4" t="n">
        <v>150</v>
      </c>
      <c r="F43" s="4" t="n">
        <v>3</v>
      </c>
      <c r="G43" s="4" t="s">
        <v>121</v>
      </c>
      <c r="H43" s="4" t="s">
        <v>13</v>
      </c>
    </row>
    <row r="44" customFormat="false" ht="15" hidden="false" customHeight="true" outlineLevel="0" collapsed="false">
      <c r="A44" s="4" t="s">
        <v>122</v>
      </c>
      <c r="B44" s="4" t="s">
        <v>123</v>
      </c>
      <c r="C44" s="4" t="s">
        <v>110</v>
      </c>
      <c r="D44" s="4" t="s">
        <v>111</v>
      </c>
      <c r="E44" s="4" t="n">
        <v>90</v>
      </c>
      <c r="F44" s="4" t="n">
        <v>1.5</v>
      </c>
      <c r="G44" s="4" t="s">
        <v>124</v>
      </c>
      <c r="H44" s="4" t="s">
        <v>13</v>
      </c>
    </row>
    <row r="45" customFormat="false" ht="15" hidden="false" customHeight="true" outlineLevel="0" collapsed="false">
      <c r="A45" s="4" t="s">
        <v>125</v>
      </c>
      <c r="B45" s="4" t="s">
        <v>126</v>
      </c>
      <c r="C45" s="4" t="s">
        <v>110</v>
      </c>
      <c r="D45" s="4" t="s">
        <v>127</v>
      </c>
      <c r="E45" s="4" t="n">
        <v>15</v>
      </c>
      <c r="F45" s="4" t="n">
        <v>6</v>
      </c>
      <c r="G45" s="4" t="s">
        <v>128</v>
      </c>
      <c r="H45" s="4" t="s">
        <v>13</v>
      </c>
    </row>
    <row r="46" customFormat="false" ht="15" hidden="false" customHeight="true" outlineLevel="0" collapsed="false">
      <c r="A46" s="4" t="s">
        <v>129</v>
      </c>
      <c r="B46" s="4" t="s">
        <v>130</v>
      </c>
      <c r="C46" s="4" t="s">
        <v>110</v>
      </c>
      <c r="D46" s="4" t="s">
        <v>127</v>
      </c>
      <c r="E46" s="4" t="n">
        <v>20</v>
      </c>
      <c r="F46" s="4" t="n">
        <v>10</v>
      </c>
      <c r="G46" s="4" t="s">
        <v>131</v>
      </c>
      <c r="H46" s="4" t="s">
        <v>13</v>
      </c>
    </row>
    <row r="47" customFormat="false" ht="15" hidden="false" customHeight="true" outlineLevel="0" collapsed="false">
      <c r="A47" s="4" t="s">
        <v>132</v>
      </c>
      <c r="B47" s="4" t="s">
        <v>133</v>
      </c>
      <c r="C47" s="4" t="s">
        <v>110</v>
      </c>
      <c r="D47" s="4" t="s">
        <v>127</v>
      </c>
      <c r="E47" s="4" t="n">
        <v>25</v>
      </c>
      <c r="F47" s="4" t="n">
        <v>4</v>
      </c>
      <c r="G47" s="4" t="s">
        <v>134</v>
      </c>
      <c r="H47" s="4" t="s">
        <v>13</v>
      </c>
    </row>
    <row r="48" customFormat="false" ht="15" hidden="false" customHeight="true" outlineLevel="0" collapsed="false">
      <c r="A48" s="4" t="s">
        <v>135</v>
      </c>
      <c r="B48" s="4" t="s">
        <v>136</v>
      </c>
      <c r="C48" s="4" t="s">
        <v>110</v>
      </c>
      <c r="D48" s="4" t="s">
        <v>127</v>
      </c>
      <c r="E48" s="4" t="n">
        <v>65</v>
      </c>
      <c r="F48" s="4" t="n">
        <v>10</v>
      </c>
      <c r="G48" s="4" t="s">
        <v>137</v>
      </c>
      <c r="H48" s="4" t="s">
        <v>13</v>
      </c>
    </row>
    <row r="49" customFormat="false" ht="15" hidden="false" customHeight="true" outlineLevel="0" collapsed="false">
      <c r="A49" s="4" t="s">
        <v>138</v>
      </c>
      <c r="B49" s="4" t="s">
        <v>139</v>
      </c>
      <c r="C49" s="4" t="s">
        <v>110</v>
      </c>
      <c r="D49" s="4" t="s">
        <v>127</v>
      </c>
      <c r="E49" s="4" t="n">
        <v>22</v>
      </c>
      <c r="F49" s="4" t="n">
        <v>2</v>
      </c>
      <c r="G49" s="4" t="s">
        <v>140</v>
      </c>
      <c r="H49" s="4" t="s">
        <v>13</v>
      </c>
    </row>
    <row r="50" customFormat="false" ht="15" hidden="false" customHeight="true" outlineLevel="0" collapsed="false">
      <c r="A50" s="4" t="s">
        <v>141</v>
      </c>
      <c r="B50" s="4" t="s">
        <v>142</v>
      </c>
      <c r="C50" s="4" t="s">
        <v>110</v>
      </c>
      <c r="D50" s="4" t="s">
        <v>127</v>
      </c>
      <c r="E50" s="4" t="n">
        <v>32</v>
      </c>
      <c r="F50" s="4" t="n">
        <v>2</v>
      </c>
      <c r="G50" s="4" t="s">
        <v>143</v>
      </c>
      <c r="H50" s="4" t="s">
        <v>13</v>
      </c>
    </row>
    <row r="51" customFormat="false" ht="15" hidden="false" customHeight="true" outlineLevel="0" collapsed="false">
      <c r="A51" s="4" t="s">
        <v>144</v>
      </c>
      <c r="B51" s="4" t="s">
        <v>145</v>
      </c>
      <c r="C51" s="4" t="s">
        <v>110</v>
      </c>
      <c r="D51" s="4" t="s">
        <v>127</v>
      </c>
      <c r="E51" s="4" t="n">
        <v>18</v>
      </c>
      <c r="F51" s="4" t="n">
        <v>8</v>
      </c>
      <c r="G51" s="4" t="s">
        <v>128</v>
      </c>
      <c r="H51" s="4" t="s">
        <v>13</v>
      </c>
    </row>
    <row r="52" customFormat="false" ht="15" hidden="false" customHeight="true" outlineLevel="0" collapsed="false">
      <c r="A52" s="4" t="s">
        <v>146</v>
      </c>
      <c r="B52" s="4" t="s">
        <v>147</v>
      </c>
      <c r="C52" s="4" t="s">
        <v>110</v>
      </c>
      <c r="D52" s="4" t="s">
        <v>127</v>
      </c>
      <c r="E52" s="4" t="n">
        <v>24</v>
      </c>
      <c r="F52" s="4" t="n">
        <v>1.5</v>
      </c>
      <c r="G52" s="4" t="s">
        <v>148</v>
      </c>
      <c r="H52" s="4" t="s">
        <v>13</v>
      </c>
    </row>
    <row r="53" customFormat="false" ht="15" hidden="false" customHeight="true" outlineLevel="0" collapsed="false">
      <c r="A53" s="4" t="s">
        <v>149</v>
      </c>
      <c r="B53" s="4" t="s">
        <v>150</v>
      </c>
      <c r="C53" s="4" t="s">
        <v>110</v>
      </c>
      <c r="D53" s="4" t="s">
        <v>11</v>
      </c>
      <c r="E53" s="4" t="n">
        <v>15</v>
      </c>
      <c r="F53" s="4" t="n">
        <v>0.5</v>
      </c>
      <c r="G53" s="4" t="s">
        <v>151</v>
      </c>
      <c r="H53" s="4" t="s">
        <v>13</v>
      </c>
    </row>
    <row r="54" customFormat="false" ht="15" hidden="false" customHeight="true" outlineLevel="0" collapsed="false">
      <c r="A54" s="4" t="s">
        <v>152</v>
      </c>
      <c r="B54" s="4" t="s">
        <v>153</v>
      </c>
      <c r="C54" s="4" t="s">
        <v>110</v>
      </c>
      <c r="D54" s="4" t="s">
        <v>11</v>
      </c>
      <c r="E54" s="4" t="n">
        <v>28</v>
      </c>
      <c r="F54" s="4" t="n">
        <v>0.5</v>
      </c>
      <c r="G54" s="4" t="s">
        <v>154</v>
      </c>
      <c r="H54" s="4" t="s">
        <v>13</v>
      </c>
    </row>
    <row r="55" customFormat="false" ht="15" hidden="false" customHeight="true" outlineLevel="0" collapsed="false">
      <c r="A55" s="4" t="s">
        <v>155</v>
      </c>
      <c r="B55" s="4" t="s">
        <v>156</v>
      </c>
      <c r="C55" s="4" t="s">
        <v>110</v>
      </c>
      <c r="D55" s="4" t="s">
        <v>11</v>
      </c>
      <c r="E55" s="4" t="n">
        <v>35</v>
      </c>
      <c r="F55" s="4" t="n">
        <v>0.6</v>
      </c>
      <c r="G55" s="4" t="s">
        <v>157</v>
      </c>
      <c r="H55" s="4" t="s">
        <v>13</v>
      </c>
    </row>
    <row r="56" customFormat="false" ht="15" hidden="false" customHeight="true" outlineLevel="0" collapsed="false">
      <c r="A56" s="4" t="s">
        <v>158</v>
      </c>
      <c r="B56" s="4" t="s">
        <v>159</v>
      </c>
      <c r="C56" s="4" t="s">
        <v>110</v>
      </c>
      <c r="D56" s="4" t="s">
        <v>11</v>
      </c>
      <c r="E56" s="4" t="n">
        <v>25</v>
      </c>
      <c r="F56" s="4" t="n">
        <v>1.5</v>
      </c>
      <c r="G56" s="4" t="s">
        <v>160</v>
      </c>
      <c r="H56" s="4" t="s">
        <v>13</v>
      </c>
    </row>
    <row r="57" customFormat="false" ht="15" hidden="false" customHeight="true" outlineLevel="0" collapsed="false">
      <c r="A57" s="4" t="s">
        <v>161</v>
      </c>
      <c r="B57" s="4" t="s">
        <v>162</v>
      </c>
      <c r="C57" s="4" t="s">
        <v>110</v>
      </c>
      <c r="D57" s="4" t="s">
        <v>11</v>
      </c>
      <c r="E57" s="4" t="n">
        <v>12</v>
      </c>
      <c r="F57" s="4" t="n">
        <v>1</v>
      </c>
      <c r="G57" s="4" t="s">
        <v>157</v>
      </c>
      <c r="H57" s="4" t="s">
        <v>13</v>
      </c>
    </row>
    <row r="58" customFormat="false" ht="15" hidden="false" customHeight="true" outlineLevel="0" collapsed="false">
      <c r="A58" s="4" t="s">
        <v>163</v>
      </c>
      <c r="B58" s="4" t="s">
        <v>164</v>
      </c>
      <c r="C58" s="4" t="s">
        <v>110</v>
      </c>
      <c r="D58" s="4" t="s">
        <v>11</v>
      </c>
      <c r="E58" s="4" t="n">
        <v>22</v>
      </c>
      <c r="F58" s="4" t="n">
        <v>0.8</v>
      </c>
      <c r="G58" s="4" t="s">
        <v>165</v>
      </c>
      <c r="H58" s="4" t="s">
        <v>13</v>
      </c>
    </row>
    <row r="59" customFormat="false" ht="15" hidden="false" customHeight="true" outlineLevel="0" collapsed="false">
      <c r="A59" s="4" t="s">
        <v>166</v>
      </c>
      <c r="B59" s="4" t="s">
        <v>167</v>
      </c>
      <c r="C59" s="4" t="s">
        <v>110</v>
      </c>
      <c r="D59" s="4" t="s">
        <v>11</v>
      </c>
      <c r="E59" s="4" t="n">
        <v>30</v>
      </c>
      <c r="F59" s="4" t="n">
        <v>2</v>
      </c>
      <c r="G59" s="4" t="s">
        <v>168</v>
      </c>
      <c r="H59" s="4" t="s">
        <v>13</v>
      </c>
    </row>
    <row r="60" customFormat="false" ht="15" hidden="false" customHeight="true" outlineLevel="0" collapsed="false">
      <c r="A60" s="4" t="s">
        <v>169</v>
      </c>
      <c r="B60" s="4" t="s">
        <v>170</v>
      </c>
      <c r="C60" s="4" t="s">
        <v>110</v>
      </c>
      <c r="D60" s="4" t="s">
        <v>11</v>
      </c>
      <c r="E60" s="4" t="n">
        <v>18</v>
      </c>
      <c r="F60" s="4" t="n">
        <v>0.8</v>
      </c>
      <c r="G60" s="4" t="s">
        <v>157</v>
      </c>
      <c r="H60" s="4" t="s">
        <v>13</v>
      </c>
    </row>
    <row r="61" customFormat="false" ht="15" hidden="false" customHeight="true" outlineLevel="0" collapsed="false">
      <c r="A61" s="4" t="s">
        <v>171</v>
      </c>
      <c r="B61" s="4" t="s">
        <v>172</v>
      </c>
      <c r="C61" s="4" t="s">
        <v>110</v>
      </c>
      <c r="D61" s="4" t="s">
        <v>11</v>
      </c>
      <c r="E61" s="4" t="n">
        <v>120</v>
      </c>
      <c r="F61" s="4" t="n">
        <v>0.3</v>
      </c>
      <c r="G61" s="4" t="s">
        <v>173</v>
      </c>
      <c r="H61" s="4" t="s">
        <v>13</v>
      </c>
    </row>
    <row r="62" customFormat="false" ht="15" hidden="false" customHeight="true" outlineLevel="0" collapsed="false">
      <c r="A62" s="4" t="s">
        <v>174</v>
      </c>
      <c r="B62" s="4" t="s">
        <v>175</v>
      </c>
      <c r="C62" s="4" t="s">
        <v>110</v>
      </c>
      <c r="D62" s="4" t="s">
        <v>11</v>
      </c>
      <c r="E62" s="4" t="n">
        <v>20</v>
      </c>
      <c r="F62" s="4" t="n">
        <v>1</v>
      </c>
      <c r="G62" s="4" t="s">
        <v>176</v>
      </c>
      <c r="H62" s="4" t="s">
        <v>13</v>
      </c>
    </row>
    <row r="63" customFormat="false" ht="15" hidden="false" customHeight="true" outlineLevel="0" collapsed="false">
      <c r="A63" s="4" t="s">
        <v>177</v>
      </c>
      <c r="B63" s="4" t="s">
        <v>178</v>
      </c>
      <c r="C63" s="4" t="s">
        <v>110</v>
      </c>
      <c r="D63" s="4" t="s">
        <v>179</v>
      </c>
      <c r="E63" s="4" t="n">
        <v>48</v>
      </c>
      <c r="F63" s="4" t="n">
        <v>3.5</v>
      </c>
      <c r="G63" s="4" t="s">
        <v>180</v>
      </c>
      <c r="H63" s="4" t="s">
        <v>13</v>
      </c>
    </row>
    <row r="64" customFormat="false" ht="15" hidden="false" customHeight="true" outlineLevel="0" collapsed="false">
      <c r="A64" s="4" t="s">
        <v>181</v>
      </c>
      <c r="B64" s="4" t="s">
        <v>182</v>
      </c>
      <c r="C64" s="4" t="s">
        <v>110</v>
      </c>
      <c r="D64" s="4" t="s">
        <v>179</v>
      </c>
      <c r="E64" s="4" t="n">
        <v>28</v>
      </c>
      <c r="F64" s="4" t="n">
        <v>2.5</v>
      </c>
      <c r="G64" s="4" t="s">
        <v>183</v>
      </c>
      <c r="H64" s="4" t="s">
        <v>13</v>
      </c>
    </row>
    <row r="65" customFormat="false" ht="15" hidden="false" customHeight="true" outlineLevel="0" collapsed="false">
      <c r="A65" s="4" t="s">
        <v>184</v>
      </c>
      <c r="B65" s="4" t="s">
        <v>185</v>
      </c>
      <c r="C65" s="4" t="s">
        <v>110</v>
      </c>
      <c r="D65" s="4" t="s">
        <v>179</v>
      </c>
      <c r="E65" s="4" t="n">
        <v>55</v>
      </c>
      <c r="F65" s="4" t="n">
        <v>2</v>
      </c>
      <c r="G65" s="4" t="s">
        <v>186</v>
      </c>
      <c r="H65" s="4" t="s">
        <v>13</v>
      </c>
    </row>
    <row r="66" customFormat="false" ht="15" hidden="false" customHeight="true" outlineLevel="0" collapsed="false">
      <c r="A66" s="4" t="s">
        <v>187</v>
      </c>
      <c r="B66" s="4" t="s">
        <v>188</v>
      </c>
      <c r="C66" s="4" t="s">
        <v>110</v>
      </c>
      <c r="D66" s="4" t="s">
        <v>179</v>
      </c>
      <c r="E66" s="4" t="n">
        <v>60</v>
      </c>
      <c r="F66" s="4" t="n">
        <v>4</v>
      </c>
      <c r="G66" s="4" t="s">
        <v>189</v>
      </c>
      <c r="H66" s="4" t="s">
        <v>13</v>
      </c>
    </row>
    <row r="67" customFormat="false" ht="15" hidden="false" customHeight="true" outlineLevel="0" collapsed="false">
      <c r="A67" s="4" t="s">
        <v>190</v>
      </c>
      <c r="B67" s="4" t="s">
        <v>191</v>
      </c>
      <c r="C67" s="4" t="s">
        <v>110</v>
      </c>
      <c r="D67" s="4" t="s">
        <v>179</v>
      </c>
      <c r="E67" s="4" t="n">
        <v>28</v>
      </c>
      <c r="F67" s="4" t="n">
        <v>5</v>
      </c>
      <c r="G67" s="4" t="s">
        <v>192</v>
      </c>
      <c r="H67" s="4" t="s">
        <v>13</v>
      </c>
    </row>
    <row r="68" customFormat="false" ht="15" hidden="false" customHeight="true" outlineLevel="0" collapsed="false">
      <c r="A68" s="4" t="s">
        <v>193</v>
      </c>
      <c r="B68" s="4" t="s">
        <v>194</v>
      </c>
      <c r="C68" s="4" t="s">
        <v>110</v>
      </c>
      <c r="D68" s="4" t="s">
        <v>179</v>
      </c>
      <c r="E68" s="4" t="n">
        <v>40</v>
      </c>
      <c r="F68" s="4" t="n">
        <v>4</v>
      </c>
      <c r="G68" s="4" t="s">
        <v>195</v>
      </c>
      <c r="H68" s="4" t="s">
        <v>13</v>
      </c>
    </row>
    <row r="69" customFormat="false" ht="15" hidden="false" customHeight="true" outlineLevel="0" collapsed="false">
      <c r="A69" s="4" t="s">
        <v>196</v>
      </c>
      <c r="B69" s="4" t="s">
        <v>197</v>
      </c>
      <c r="C69" s="4" t="s">
        <v>110</v>
      </c>
      <c r="D69" s="4" t="s">
        <v>179</v>
      </c>
      <c r="E69" s="4" t="n">
        <v>300</v>
      </c>
      <c r="F69" s="4" t="n">
        <v>5</v>
      </c>
      <c r="G69" s="4" t="s">
        <v>198</v>
      </c>
      <c r="H69" s="4" t="s">
        <v>13</v>
      </c>
    </row>
    <row r="70" customFormat="false" ht="15" hidden="false" customHeight="true" outlineLevel="0" collapsed="false">
      <c r="A70" s="5" t="s">
        <v>199</v>
      </c>
      <c r="B70" s="5" t="s">
        <v>200</v>
      </c>
      <c r="C70" s="5" t="s">
        <v>201</v>
      </c>
      <c r="D70" s="5" t="s">
        <v>127</v>
      </c>
      <c r="E70" s="5" t="n">
        <v>88</v>
      </c>
      <c r="F70" s="5" t="n">
        <v>5</v>
      </c>
      <c r="G70" s="5" t="s">
        <v>112</v>
      </c>
      <c r="H70" s="5" t="s">
        <v>13</v>
      </c>
    </row>
    <row r="71" customFormat="false" ht="15" hidden="false" customHeight="true" outlineLevel="0" collapsed="false">
      <c r="A71" s="5" t="s">
        <v>202</v>
      </c>
      <c r="B71" s="5" t="s">
        <v>203</v>
      </c>
      <c r="C71" s="5" t="s">
        <v>201</v>
      </c>
      <c r="D71" s="5" t="s">
        <v>127</v>
      </c>
      <c r="E71" s="5" t="n">
        <v>45</v>
      </c>
      <c r="F71" s="5" t="n">
        <v>15</v>
      </c>
      <c r="G71" s="5" t="s">
        <v>128</v>
      </c>
      <c r="H71" s="5" t="s">
        <v>13</v>
      </c>
    </row>
    <row r="72" customFormat="false" ht="15" hidden="false" customHeight="true" outlineLevel="0" collapsed="false">
      <c r="A72" s="5" t="s">
        <v>204</v>
      </c>
      <c r="B72" s="5" t="s">
        <v>205</v>
      </c>
      <c r="C72" s="5" t="s">
        <v>201</v>
      </c>
      <c r="D72" s="5" t="s">
        <v>127</v>
      </c>
      <c r="E72" s="5" t="n">
        <v>95</v>
      </c>
      <c r="F72" s="5" t="n">
        <v>10</v>
      </c>
      <c r="G72" s="5" t="s">
        <v>206</v>
      </c>
      <c r="H72" s="5" t="s">
        <v>13</v>
      </c>
    </row>
    <row r="73" customFormat="false" ht="15" hidden="false" customHeight="true" outlineLevel="0" collapsed="false">
      <c r="A73" s="5" t="s">
        <v>207</v>
      </c>
      <c r="B73" s="5" t="s">
        <v>208</v>
      </c>
      <c r="C73" s="5" t="s">
        <v>201</v>
      </c>
      <c r="D73" s="5" t="s">
        <v>127</v>
      </c>
      <c r="E73" s="5" t="n">
        <v>82</v>
      </c>
      <c r="F73" s="5" t="n">
        <v>9</v>
      </c>
      <c r="G73" s="5" t="s">
        <v>209</v>
      </c>
      <c r="H73" s="5" t="s">
        <v>13</v>
      </c>
    </row>
    <row r="74" customFormat="false" ht="15" hidden="false" customHeight="true" outlineLevel="0" collapsed="false">
      <c r="A74" s="5" t="s">
        <v>210</v>
      </c>
      <c r="B74" s="5" t="s">
        <v>211</v>
      </c>
      <c r="C74" s="5" t="s">
        <v>201</v>
      </c>
      <c r="D74" s="5" t="s">
        <v>127</v>
      </c>
      <c r="E74" s="5" t="n">
        <v>320</v>
      </c>
      <c r="F74" s="5" t="n">
        <v>4</v>
      </c>
      <c r="G74" s="5" t="s">
        <v>212</v>
      </c>
      <c r="H74" s="5" t="s">
        <v>13</v>
      </c>
    </row>
    <row r="75" customFormat="false" ht="15" hidden="false" customHeight="true" outlineLevel="0" collapsed="false">
      <c r="A75" s="5" t="s">
        <v>213</v>
      </c>
      <c r="B75" s="5" t="s">
        <v>214</v>
      </c>
      <c r="C75" s="5" t="s">
        <v>201</v>
      </c>
      <c r="D75" s="5" t="s">
        <v>127</v>
      </c>
      <c r="E75" s="5" t="n">
        <v>72</v>
      </c>
      <c r="F75" s="5" t="n">
        <v>6</v>
      </c>
      <c r="G75" s="5" t="s">
        <v>134</v>
      </c>
      <c r="H75" s="5" t="s">
        <v>13</v>
      </c>
    </row>
    <row r="76" customFormat="false" ht="15" hidden="false" customHeight="true" outlineLevel="0" collapsed="false">
      <c r="A76" s="5" t="s">
        <v>215</v>
      </c>
      <c r="B76" s="5" t="s">
        <v>216</v>
      </c>
      <c r="C76" s="5" t="s">
        <v>201</v>
      </c>
      <c r="D76" s="5" t="s">
        <v>127</v>
      </c>
      <c r="E76" s="5" t="n">
        <v>68</v>
      </c>
      <c r="F76" s="5" t="n">
        <v>3</v>
      </c>
      <c r="G76" s="5" t="s">
        <v>115</v>
      </c>
      <c r="H76" s="5" t="s">
        <v>13</v>
      </c>
    </row>
    <row r="77" customFormat="false" ht="15" hidden="false" customHeight="true" outlineLevel="0" collapsed="false">
      <c r="A77" s="5" t="s">
        <v>217</v>
      </c>
      <c r="B77" s="5" t="s">
        <v>218</v>
      </c>
      <c r="C77" s="5" t="s">
        <v>201</v>
      </c>
      <c r="D77" s="5" t="s">
        <v>127</v>
      </c>
      <c r="E77" s="5" t="n">
        <v>55</v>
      </c>
      <c r="F77" s="5" t="n">
        <v>8</v>
      </c>
      <c r="G77" s="5" t="s">
        <v>140</v>
      </c>
      <c r="H77" s="5" t="s">
        <v>13</v>
      </c>
    </row>
    <row r="78" customFormat="false" ht="15" hidden="false" customHeight="true" outlineLevel="0" collapsed="false">
      <c r="A78" s="5" t="s">
        <v>219</v>
      </c>
      <c r="B78" s="5" t="s">
        <v>220</v>
      </c>
      <c r="C78" s="5" t="s">
        <v>201</v>
      </c>
      <c r="D78" s="5" t="s">
        <v>127</v>
      </c>
      <c r="E78" s="5" t="n">
        <v>58</v>
      </c>
      <c r="F78" s="5" t="n">
        <v>3</v>
      </c>
      <c r="G78" s="5" t="s">
        <v>143</v>
      </c>
      <c r="H78" s="5" t="s">
        <v>13</v>
      </c>
    </row>
    <row r="79" customFormat="false" ht="15" hidden="false" customHeight="true" outlineLevel="0" collapsed="false">
      <c r="A79" s="5" t="s">
        <v>221</v>
      </c>
      <c r="B79" s="5" t="s">
        <v>222</v>
      </c>
      <c r="C79" s="5" t="s">
        <v>201</v>
      </c>
      <c r="D79" s="5" t="s">
        <v>11</v>
      </c>
      <c r="E79" s="5" t="n">
        <v>65</v>
      </c>
      <c r="F79" s="5" t="n">
        <v>1</v>
      </c>
      <c r="G79" s="5" t="s">
        <v>223</v>
      </c>
      <c r="H79" s="5" t="s">
        <v>13</v>
      </c>
    </row>
    <row r="80" customFormat="false" ht="15" hidden="false" customHeight="true" outlineLevel="0" collapsed="false">
      <c r="A80" s="5" t="s">
        <v>224</v>
      </c>
      <c r="B80" s="5" t="s">
        <v>225</v>
      </c>
      <c r="C80" s="5" t="s">
        <v>201</v>
      </c>
      <c r="D80" s="5" t="s">
        <v>11</v>
      </c>
      <c r="E80" s="5" t="n">
        <v>85</v>
      </c>
      <c r="F80" s="5" t="n">
        <v>0.4</v>
      </c>
      <c r="G80" s="5" t="s">
        <v>226</v>
      </c>
      <c r="H80" s="5" t="s">
        <v>13</v>
      </c>
    </row>
    <row r="81" customFormat="false" ht="15" hidden="false" customHeight="true" outlineLevel="0" collapsed="false">
      <c r="A81" s="5" t="s">
        <v>227</v>
      </c>
      <c r="B81" s="5" t="s">
        <v>228</v>
      </c>
      <c r="C81" s="5" t="s">
        <v>201</v>
      </c>
      <c r="D81" s="5" t="s">
        <v>11</v>
      </c>
      <c r="E81" s="5" t="n">
        <v>45</v>
      </c>
      <c r="F81" s="5" t="n">
        <v>0.8</v>
      </c>
      <c r="G81" s="5" t="s">
        <v>165</v>
      </c>
      <c r="H81" s="5" t="s">
        <v>13</v>
      </c>
    </row>
    <row r="82" customFormat="false" ht="15" hidden="false" customHeight="true" outlineLevel="0" collapsed="false">
      <c r="A82" s="5" t="s">
        <v>229</v>
      </c>
      <c r="B82" s="5" t="s">
        <v>230</v>
      </c>
      <c r="C82" s="5" t="s">
        <v>201</v>
      </c>
      <c r="D82" s="5" t="s">
        <v>11</v>
      </c>
      <c r="E82" s="5" t="n">
        <v>75</v>
      </c>
      <c r="F82" s="5" t="n">
        <v>1.2</v>
      </c>
      <c r="G82" s="5" t="s">
        <v>231</v>
      </c>
      <c r="H82" s="5" t="s">
        <v>13</v>
      </c>
    </row>
    <row r="83" customFormat="false" ht="15" hidden="false" customHeight="true" outlineLevel="0" collapsed="false">
      <c r="A83" s="5" t="s">
        <v>232</v>
      </c>
      <c r="B83" s="5" t="s">
        <v>233</v>
      </c>
      <c r="C83" s="5" t="s">
        <v>201</v>
      </c>
      <c r="D83" s="5" t="s">
        <v>11</v>
      </c>
      <c r="E83" s="5" t="n">
        <v>58</v>
      </c>
      <c r="F83" s="5" t="n">
        <v>0.7</v>
      </c>
      <c r="G83" s="5" t="s">
        <v>234</v>
      </c>
      <c r="H83" s="5" t="s">
        <v>13</v>
      </c>
    </row>
    <row r="84" customFormat="false" ht="15" hidden="false" customHeight="true" outlineLevel="0" collapsed="false">
      <c r="A84" s="5" t="s">
        <v>235</v>
      </c>
      <c r="B84" s="5" t="s">
        <v>236</v>
      </c>
      <c r="C84" s="5" t="s">
        <v>201</v>
      </c>
      <c r="D84" s="5" t="s">
        <v>11</v>
      </c>
      <c r="E84" s="5" t="n">
        <v>38</v>
      </c>
      <c r="F84" s="5" t="n">
        <v>0.5</v>
      </c>
      <c r="G84" s="5" t="s">
        <v>231</v>
      </c>
      <c r="H84" s="5" t="s">
        <v>13</v>
      </c>
    </row>
    <row r="85" customFormat="false" ht="15" hidden="false" customHeight="true" outlineLevel="0" collapsed="false">
      <c r="A85" s="5" t="s">
        <v>237</v>
      </c>
      <c r="B85" s="5" t="s">
        <v>238</v>
      </c>
      <c r="C85" s="5" t="s">
        <v>201</v>
      </c>
      <c r="D85" s="5" t="s">
        <v>11</v>
      </c>
      <c r="E85" s="5" t="n">
        <v>35</v>
      </c>
      <c r="F85" s="5" t="n">
        <v>0.6</v>
      </c>
      <c r="G85" s="5" t="s">
        <v>239</v>
      </c>
      <c r="H85" s="5" t="s">
        <v>13</v>
      </c>
    </row>
    <row r="86" customFormat="false" ht="15" hidden="false" customHeight="true" outlineLevel="0" collapsed="false">
      <c r="A86" s="5" t="s">
        <v>240</v>
      </c>
      <c r="B86" s="5" t="s">
        <v>241</v>
      </c>
      <c r="C86" s="5" t="s">
        <v>201</v>
      </c>
      <c r="D86" s="5" t="s">
        <v>11</v>
      </c>
      <c r="E86" s="5" t="n">
        <v>48</v>
      </c>
      <c r="F86" s="5" t="n">
        <v>1.5</v>
      </c>
      <c r="G86" s="5" t="s">
        <v>242</v>
      </c>
      <c r="H86" s="5" t="s">
        <v>13</v>
      </c>
    </row>
    <row r="87" customFormat="false" ht="15" hidden="false" customHeight="true" outlineLevel="0" collapsed="false">
      <c r="A87" s="5" t="s">
        <v>243</v>
      </c>
      <c r="B87" s="5" t="s">
        <v>244</v>
      </c>
      <c r="C87" s="5" t="s">
        <v>201</v>
      </c>
      <c r="D87" s="5" t="s">
        <v>11</v>
      </c>
      <c r="E87" s="5" t="n">
        <v>55</v>
      </c>
      <c r="F87" s="5" t="n">
        <v>1.8</v>
      </c>
      <c r="G87" s="5" t="s">
        <v>245</v>
      </c>
      <c r="H87" s="5" t="s">
        <v>13</v>
      </c>
    </row>
    <row r="88" customFormat="false" ht="15" hidden="false" customHeight="true" outlineLevel="0" collapsed="false">
      <c r="A88" s="5" t="s">
        <v>246</v>
      </c>
      <c r="B88" s="5" t="s">
        <v>247</v>
      </c>
      <c r="C88" s="5" t="s">
        <v>201</v>
      </c>
      <c r="D88" s="5" t="s">
        <v>11</v>
      </c>
      <c r="E88" s="5" t="n">
        <v>42</v>
      </c>
      <c r="F88" s="5" t="n">
        <v>1.2</v>
      </c>
      <c r="G88" s="5" t="s">
        <v>248</v>
      </c>
      <c r="H88" s="5" t="s">
        <v>13</v>
      </c>
    </row>
    <row r="89" customFormat="false" ht="15" hidden="false" customHeight="true" outlineLevel="0" collapsed="false">
      <c r="A89" s="5" t="s">
        <v>249</v>
      </c>
      <c r="B89" s="5" t="s">
        <v>250</v>
      </c>
      <c r="C89" s="5" t="s">
        <v>201</v>
      </c>
      <c r="D89" s="5" t="s">
        <v>179</v>
      </c>
      <c r="E89" s="5" t="n">
        <v>68</v>
      </c>
      <c r="F89" s="5" t="n">
        <v>2</v>
      </c>
      <c r="G89" s="5" t="s">
        <v>195</v>
      </c>
      <c r="H89" s="5" t="s">
        <v>13</v>
      </c>
    </row>
    <row r="90" customFormat="false" ht="15" hidden="false" customHeight="true" outlineLevel="0" collapsed="false">
      <c r="A90" s="5" t="s">
        <v>251</v>
      </c>
      <c r="B90" s="5" t="s">
        <v>252</v>
      </c>
      <c r="C90" s="5" t="s">
        <v>201</v>
      </c>
      <c r="D90" s="5" t="s">
        <v>179</v>
      </c>
      <c r="E90" s="5" t="n">
        <v>35</v>
      </c>
      <c r="F90" s="5" t="n">
        <v>3</v>
      </c>
      <c r="G90" s="5" t="s">
        <v>195</v>
      </c>
      <c r="H90" s="5" t="s">
        <v>13</v>
      </c>
    </row>
    <row r="91" customFormat="false" ht="15" hidden="false" customHeight="true" outlineLevel="0" collapsed="false">
      <c r="A91" s="5" t="s">
        <v>253</v>
      </c>
      <c r="B91" s="5" t="s">
        <v>254</v>
      </c>
      <c r="C91" s="5" t="s">
        <v>201</v>
      </c>
      <c r="D91" s="5" t="s">
        <v>179</v>
      </c>
      <c r="E91" s="5" t="n">
        <v>88</v>
      </c>
      <c r="F91" s="5" t="n">
        <v>4.5</v>
      </c>
      <c r="G91" s="5" t="s">
        <v>189</v>
      </c>
      <c r="H91" s="5" t="s">
        <v>13</v>
      </c>
    </row>
    <row r="92" customFormat="false" ht="15" hidden="false" customHeight="true" outlineLevel="0" collapsed="false">
      <c r="A92" s="5" t="s">
        <v>255</v>
      </c>
      <c r="B92" s="5" t="s">
        <v>256</v>
      </c>
      <c r="C92" s="5" t="s">
        <v>201</v>
      </c>
      <c r="D92" s="5" t="s">
        <v>179</v>
      </c>
      <c r="E92" s="5" t="n">
        <v>135</v>
      </c>
      <c r="F92" s="5" t="n">
        <v>5</v>
      </c>
      <c r="G92" s="5" t="s">
        <v>257</v>
      </c>
      <c r="H92" s="5" t="s">
        <v>13</v>
      </c>
    </row>
    <row r="93" customFormat="false" ht="15" hidden="false" customHeight="true" outlineLevel="0" collapsed="false">
      <c r="A93" s="5" t="s">
        <v>258</v>
      </c>
      <c r="B93" s="5" t="s">
        <v>259</v>
      </c>
      <c r="C93" s="5" t="s">
        <v>201</v>
      </c>
      <c r="D93" s="5" t="s">
        <v>179</v>
      </c>
      <c r="E93" s="5" t="n">
        <v>850</v>
      </c>
      <c r="F93" s="5" t="n">
        <v>8</v>
      </c>
      <c r="G93" s="5" t="s">
        <v>198</v>
      </c>
      <c r="H93" s="5" t="s">
        <v>13</v>
      </c>
    </row>
    <row r="94" customFormat="false" ht="15" hidden="false" customHeight="true" outlineLevel="0" collapsed="false">
      <c r="A94" s="5" t="s">
        <v>260</v>
      </c>
      <c r="B94" s="5" t="s">
        <v>261</v>
      </c>
      <c r="C94" s="5" t="s">
        <v>201</v>
      </c>
      <c r="D94" s="5" t="s">
        <v>179</v>
      </c>
      <c r="E94" s="5" t="n">
        <v>52</v>
      </c>
      <c r="F94" s="5" t="n">
        <v>3.5</v>
      </c>
      <c r="G94" s="5" t="s">
        <v>262</v>
      </c>
      <c r="H94" s="5" t="s">
        <v>13</v>
      </c>
    </row>
    <row r="95" customFormat="false" ht="15" hidden="false" customHeight="true" outlineLevel="0" collapsed="false">
      <c r="A95" s="5" t="s">
        <v>263</v>
      </c>
      <c r="B95" s="5" t="s">
        <v>264</v>
      </c>
      <c r="C95" s="5" t="s">
        <v>201</v>
      </c>
      <c r="D95" s="5" t="s">
        <v>179</v>
      </c>
      <c r="E95" s="5" t="n">
        <v>62</v>
      </c>
      <c r="F95" s="5" t="n">
        <v>2.5</v>
      </c>
      <c r="G95" s="5" t="s">
        <v>265</v>
      </c>
      <c r="H95" s="5" t="s">
        <v>13</v>
      </c>
    </row>
    <row r="96" customFormat="false" ht="15" hidden="false" customHeight="true" outlineLevel="0" collapsed="false">
      <c r="A96" s="5" t="s">
        <v>266</v>
      </c>
      <c r="B96" s="5" t="s">
        <v>267</v>
      </c>
      <c r="C96" s="5" t="s">
        <v>201</v>
      </c>
      <c r="D96" s="5" t="s">
        <v>179</v>
      </c>
      <c r="E96" s="5" t="n">
        <v>115</v>
      </c>
      <c r="F96" s="5" t="n">
        <v>4</v>
      </c>
      <c r="G96" s="5" t="s">
        <v>268</v>
      </c>
      <c r="H96" s="5" t="s">
        <v>13</v>
      </c>
    </row>
    <row r="97" customFormat="false" ht="15" hidden="false" customHeight="true" outlineLevel="0" collapsed="false">
      <c r="A97" s="5" t="s">
        <v>269</v>
      </c>
      <c r="B97" s="5" t="s">
        <v>270</v>
      </c>
      <c r="C97" s="5" t="s">
        <v>201</v>
      </c>
      <c r="D97" s="5" t="s">
        <v>179</v>
      </c>
      <c r="E97" s="5" t="n">
        <v>285</v>
      </c>
      <c r="F97" s="5" t="n">
        <v>6</v>
      </c>
      <c r="G97" s="5" t="s">
        <v>271</v>
      </c>
      <c r="H97" s="5" t="s">
        <v>13</v>
      </c>
    </row>
    <row r="98" customFormat="false" ht="15" hidden="false" customHeight="true" outlineLevel="0" collapsed="false">
      <c r="A98" s="5" t="s">
        <v>272</v>
      </c>
      <c r="B98" s="5" t="s">
        <v>273</v>
      </c>
      <c r="C98" s="5" t="s">
        <v>201</v>
      </c>
      <c r="D98" s="5" t="s">
        <v>274</v>
      </c>
      <c r="E98" s="5" t="n">
        <v>185</v>
      </c>
      <c r="F98" s="5" t="n">
        <v>2</v>
      </c>
      <c r="G98" s="5" t="s">
        <v>124</v>
      </c>
      <c r="H98" s="5" t="s">
        <v>13</v>
      </c>
    </row>
    <row r="99" customFormat="false" ht="15" hidden="false" customHeight="true" outlineLevel="0" collapsed="false">
      <c r="A99" s="5" t="s">
        <v>275</v>
      </c>
      <c r="B99" s="5" t="s">
        <v>276</v>
      </c>
      <c r="C99" s="5" t="s">
        <v>201</v>
      </c>
      <c r="D99" s="5" t="s">
        <v>277</v>
      </c>
      <c r="E99" s="5" t="n">
        <v>48</v>
      </c>
      <c r="F99" s="5" t="n">
        <v>0.5</v>
      </c>
      <c r="G99" s="5" t="s">
        <v>278</v>
      </c>
      <c r="H99" s="5" t="s">
        <v>13</v>
      </c>
    </row>
    <row r="100" customFormat="false" ht="15" hidden="false" customHeight="true" outlineLevel="0" collapsed="false">
      <c r="A100" s="5" t="s">
        <v>279</v>
      </c>
      <c r="B100" s="5" t="s">
        <v>280</v>
      </c>
      <c r="C100" s="5" t="s">
        <v>201</v>
      </c>
      <c r="D100" s="5" t="s">
        <v>127</v>
      </c>
      <c r="E100" s="5" t="n">
        <v>120</v>
      </c>
      <c r="F100" s="5" t="n">
        <v>15</v>
      </c>
      <c r="G100" s="5" t="s">
        <v>281</v>
      </c>
      <c r="H100" s="5" t="s">
        <v>13</v>
      </c>
    </row>
    <row r="101" customFormat="false" ht="15" hidden="false" customHeight="true" outlineLevel="0" collapsed="false">
      <c r="A101" s="5" t="s">
        <v>282</v>
      </c>
      <c r="B101" s="5" t="s">
        <v>283</v>
      </c>
      <c r="C101" s="5" t="s">
        <v>201</v>
      </c>
      <c r="D101" s="5" t="s">
        <v>274</v>
      </c>
      <c r="E101" s="5" t="n">
        <v>52</v>
      </c>
      <c r="F101" s="5" t="n">
        <v>1.5</v>
      </c>
      <c r="G101" s="5" t="s">
        <v>284</v>
      </c>
      <c r="H101" s="5" t="s">
        <v>13</v>
      </c>
    </row>
    <row r="102" customFormat="false" ht="15" hidden="false" customHeight="true" outlineLevel="0" collapsed="false">
      <c r="A102" s="5" t="s">
        <v>285</v>
      </c>
      <c r="B102" s="5" t="s">
        <v>286</v>
      </c>
      <c r="C102" s="5" t="s">
        <v>201</v>
      </c>
      <c r="D102" s="5" t="s">
        <v>127</v>
      </c>
      <c r="E102" s="5" t="n">
        <v>78</v>
      </c>
      <c r="F102" s="5" t="n">
        <v>2</v>
      </c>
      <c r="G102" s="5" t="s">
        <v>287</v>
      </c>
      <c r="H102" s="5" t="s">
        <v>13</v>
      </c>
    </row>
    <row r="103" customFormat="false" ht="15" hidden="false" customHeight="true" outlineLevel="0" collapsed="false">
      <c r="A103" s="5" t="s">
        <v>288</v>
      </c>
      <c r="B103" s="5" t="s">
        <v>289</v>
      </c>
      <c r="C103" s="5" t="s">
        <v>201</v>
      </c>
      <c r="D103" s="5" t="s">
        <v>127</v>
      </c>
      <c r="E103" s="5" t="n">
        <v>38</v>
      </c>
      <c r="F103" s="5" t="n">
        <v>4</v>
      </c>
      <c r="G103" s="5" t="s">
        <v>140</v>
      </c>
      <c r="H103" s="5" t="s">
        <v>13</v>
      </c>
    </row>
    <row r="104" customFormat="false" ht="15" hidden="false" customHeight="true" outlineLevel="0" collapsed="false">
      <c r="A104" s="5" t="s">
        <v>290</v>
      </c>
      <c r="B104" s="5" t="s">
        <v>291</v>
      </c>
      <c r="C104" s="5" t="s">
        <v>201</v>
      </c>
      <c r="D104" s="5" t="s">
        <v>127</v>
      </c>
      <c r="E104" s="5" t="n">
        <v>42</v>
      </c>
      <c r="F104" s="5" t="n">
        <v>5</v>
      </c>
      <c r="G104" s="5" t="s">
        <v>128</v>
      </c>
      <c r="H104" s="5" t="s">
        <v>13</v>
      </c>
    </row>
    <row r="105" customFormat="false" ht="15" hidden="false" customHeight="true" outlineLevel="0" collapsed="false">
      <c r="A105" s="5" t="s">
        <v>292</v>
      </c>
      <c r="B105" s="5" t="s">
        <v>293</v>
      </c>
      <c r="C105" s="5" t="s">
        <v>201</v>
      </c>
      <c r="D105" s="5" t="s">
        <v>127</v>
      </c>
      <c r="E105" s="5" t="n">
        <v>45</v>
      </c>
      <c r="F105" s="5" t="n">
        <v>0.8</v>
      </c>
      <c r="G105" s="5" t="s">
        <v>294</v>
      </c>
      <c r="H105" s="5" t="s">
        <v>13</v>
      </c>
    </row>
    <row r="106" customFormat="false" ht="15" hidden="false" customHeight="true" outlineLevel="0" collapsed="false">
      <c r="A106" s="5" t="s">
        <v>295</v>
      </c>
      <c r="B106" s="5" t="s">
        <v>296</v>
      </c>
      <c r="C106" s="5" t="s">
        <v>201</v>
      </c>
      <c r="D106" s="5" t="s">
        <v>127</v>
      </c>
      <c r="E106" s="5" t="n">
        <v>28</v>
      </c>
      <c r="F106" s="5" t="n">
        <v>2</v>
      </c>
      <c r="G106" s="5" t="s">
        <v>297</v>
      </c>
      <c r="H106" s="5" t="s">
        <v>13</v>
      </c>
    </row>
    <row r="107" customFormat="false" ht="15" hidden="false" customHeight="true" outlineLevel="0" collapsed="false">
      <c r="A107" s="5" t="s">
        <v>298</v>
      </c>
      <c r="B107" s="5" t="s">
        <v>299</v>
      </c>
      <c r="C107" s="5" t="s">
        <v>201</v>
      </c>
      <c r="D107" s="5" t="s">
        <v>127</v>
      </c>
      <c r="E107" s="5" t="n">
        <v>55</v>
      </c>
      <c r="F107" s="5" t="n">
        <v>8</v>
      </c>
      <c r="G107" s="5" t="s">
        <v>300</v>
      </c>
      <c r="H107" s="5" t="s">
        <v>13</v>
      </c>
    </row>
    <row r="108" customFormat="false" ht="15" hidden="false" customHeight="true" outlineLevel="0" collapsed="false">
      <c r="A108" s="5" t="s">
        <v>301</v>
      </c>
      <c r="B108" s="5" t="s">
        <v>302</v>
      </c>
      <c r="C108" s="5" t="s">
        <v>201</v>
      </c>
      <c r="D108" s="5" t="s">
        <v>127</v>
      </c>
      <c r="E108" s="5" t="n">
        <v>35</v>
      </c>
      <c r="F108" s="5" t="n">
        <v>10</v>
      </c>
      <c r="G108" s="5" t="s">
        <v>303</v>
      </c>
      <c r="H108" s="5" t="s">
        <v>13</v>
      </c>
    </row>
    <row r="109" customFormat="false" ht="15" hidden="false" customHeight="true" outlineLevel="0" collapsed="false">
      <c r="A109" s="5" t="s">
        <v>304</v>
      </c>
      <c r="B109" s="5" t="s">
        <v>305</v>
      </c>
      <c r="C109" s="5" t="s">
        <v>201</v>
      </c>
      <c r="D109" s="5" t="s">
        <v>127</v>
      </c>
      <c r="E109" s="5" t="n">
        <v>68</v>
      </c>
      <c r="F109" s="5" t="n">
        <v>5</v>
      </c>
      <c r="G109" s="5" t="s">
        <v>306</v>
      </c>
      <c r="H109" s="5" t="s">
        <v>13</v>
      </c>
    </row>
    <row r="110" customFormat="false" ht="15" hidden="false" customHeight="true" outlineLevel="0" collapsed="false">
      <c r="A110" s="5" t="s">
        <v>307</v>
      </c>
      <c r="B110" s="5" t="s">
        <v>308</v>
      </c>
      <c r="C110" s="5" t="s">
        <v>201</v>
      </c>
      <c r="D110" s="5" t="s">
        <v>11</v>
      </c>
      <c r="E110" s="5" t="n">
        <v>65</v>
      </c>
      <c r="F110" s="5" t="n">
        <v>1</v>
      </c>
      <c r="G110" s="5" t="s">
        <v>245</v>
      </c>
      <c r="H110" s="5" t="s">
        <v>13</v>
      </c>
    </row>
    <row r="111" customFormat="false" ht="15" hidden="false" customHeight="true" outlineLevel="0" collapsed="false">
      <c r="A111" s="5" t="s">
        <v>309</v>
      </c>
      <c r="B111" s="5" t="s">
        <v>310</v>
      </c>
      <c r="C111" s="5" t="s">
        <v>201</v>
      </c>
      <c r="D111" s="5" t="s">
        <v>11</v>
      </c>
      <c r="E111" s="5" t="n">
        <v>72</v>
      </c>
      <c r="F111" s="5" t="n">
        <v>1.8</v>
      </c>
      <c r="G111" s="5" t="s">
        <v>311</v>
      </c>
      <c r="H111" s="5" t="s">
        <v>13</v>
      </c>
    </row>
    <row r="112" customFormat="false" ht="15" hidden="false" customHeight="true" outlineLevel="0" collapsed="false">
      <c r="A112" s="5" t="s">
        <v>312</v>
      </c>
      <c r="B112" s="5" t="s">
        <v>313</v>
      </c>
      <c r="C112" s="5" t="s">
        <v>201</v>
      </c>
      <c r="D112" s="5" t="s">
        <v>11</v>
      </c>
      <c r="E112" s="5" t="n">
        <v>30</v>
      </c>
      <c r="F112" s="5" t="n">
        <v>1</v>
      </c>
      <c r="G112" s="5" t="s">
        <v>314</v>
      </c>
      <c r="H112" s="5" t="s">
        <v>13</v>
      </c>
    </row>
    <row r="113" customFormat="false" ht="15" hidden="false" customHeight="true" outlineLevel="0" collapsed="false">
      <c r="A113" s="5" t="s">
        <v>315</v>
      </c>
      <c r="B113" s="5" t="s">
        <v>316</v>
      </c>
      <c r="C113" s="5" t="s">
        <v>201</v>
      </c>
      <c r="D113" s="5" t="s">
        <v>11</v>
      </c>
      <c r="E113" s="5" t="n">
        <v>95</v>
      </c>
      <c r="F113" s="5" t="n">
        <v>3</v>
      </c>
      <c r="G113" s="5" t="s">
        <v>317</v>
      </c>
      <c r="H113" s="5" t="s">
        <v>13</v>
      </c>
    </row>
    <row r="114" customFormat="false" ht="15" hidden="false" customHeight="true" outlineLevel="0" collapsed="false">
      <c r="A114" s="5" t="s">
        <v>318</v>
      </c>
      <c r="B114" s="5" t="s">
        <v>319</v>
      </c>
      <c r="C114" s="5" t="s">
        <v>201</v>
      </c>
      <c r="D114" s="5" t="s">
        <v>11</v>
      </c>
      <c r="E114" s="5" t="n">
        <v>55</v>
      </c>
      <c r="F114" s="5" t="n">
        <v>0.6</v>
      </c>
      <c r="G114" s="5" t="s">
        <v>320</v>
      </c>
      <c r="H114" s="5" t="s">
        <v>13</v>
      </c>
    </row>
    <row r="115" customFormat="false" ht="15" hidden="false" customHeight="true" outlineLevel="0" collapsed="false">
      <c r="A115" s="5" t="s">
        <v>321</v>
      </c>
      <c r="B115" s="5" t="s">
        <v>322</v>
      </c>
      <c r="C115" s="5" t="s">
        <v>201</v>
      </c>
      <c r="D115" s="5" t="s">
        <v>11</v>
      </c>
      <c r="E115" s="5" t="n">
        <v>145</v>
      </c>
      <c r="F115" s="5" t="n">
        <v>1</v>
      </c>
      <c r="G115" s="5" t="s">
        <v>323</v>
      </c>
      <c r="H115" s="5" t="s">
        <v>13</v>
      </c>
    </row>
    <row r="116" customFormat="false" ht="15" hidden="false" customHeight="true" outlineLevel="0" collapsed="false">
      <c r="A116" s="5" t="s">
        <v>324</v>
      </c>
      <c r="B116" s="5" t="s">
        <v>325</v>
      </c>
      <c r="C116" s="5" t="s">
        <v>201</v>
      </c>
      <c r="D116" s="5" t="s">
        <v>179</v>
      </c>
      <c r="E116" s="5" t="n">
        <v>75</v>
      </c>
      <c r="F116" s="5" t="n">
        <v>3</v>
      </c>
      <c r="G116" s="5" t="s">
        <v>326</v>
      </c>
      <c r="H116" s="5" t="s">
        <v>13</v>
      </c>
    </row>
    <row r="117" customFormat="false" ht="15" hidden="false" customHeight="true" outlineLevel="0" collapsed="false">
      <c r="A117" s="5" t="s">
        <v>327</v>
      </c>
      <c r="B117" s="5" t="s">
        <v>328</v>
      </c>
      <c r="C117" s="5" t="s">
        <v>201</v>
      </c>
      <c r="D117" s="5" t="s">
        <v>179</v>
      </c>
      <c r="E117" s="5" t="n">
        <v>58</v>
      </c>
      <c r="F117" s="5" t="n">
        <v>1.5</v>
      </c>
      <c r="G117" s="5" t="s">
        <v>143</v>
      </c>
      <c r="H117" s="5" t="s">
        <v>13</v>
      </c>
    </row>
    <row r="118" customFormat="false" ht="15" hidden="false" customHeight="true" outlineLevel="0" collapsed="false">
      <c r="A118" s="5" t="s">
        <v>329</v>
      </c>
      <c r="B118" s="5" t="s">
        <v>330</v>
      </c>
      <c r="C118" s="5" t="s">
        <v>201</v>
      </c>
      <c r="D118" s="5" t="s">
        <v>179</v>
      </c>
      <c r="E118" s="5" t="n">
        <v>48</v>
      </c>
      <c r="F118" s="5" t="n">
        <v>1</v>
      </c>
      <c r="G118" s="5" t="s">
        <v>331</v>
      </c>
      <c r="H118" s="5" t="s">
        <v>13</v>
      </c>
    </row>
    <row r="119" customFormat="false" ht="15" hidden="false" customHeight="true" outlineLevel="0" collapsed="false">
      <c r="A119" s="5" t="s">
        <v>332</v>
      </c>
      <c r="B119" s="5" t="s">
        <v>333</v>
      </c>
      <c r="C119" s="5" t="s">
        <v>201</v>
      </c>
      <c r="D119" s="5" t="s">
        <v>274</v>
      </c>
      <c r="E119" s="5" t="n">
        <v>125</v>
      </c>
      <c r="F119" s="5" t="n">
        <v>2.5</v>
      </c>
      <c r="G119" s="5" t="s">
        <v>334</v>
      </c>
      <c r="H119" s="5" t="s">
        <v>13</v>
      </c>
    </row>
    <row r="120" customFormat="false" ht="15" hidden="false" customHeight="true" outlineLevel="0" collapsed="false">
      <c r="A120" s="6" t="s">
        <v>335</v>
      </c>
      <c r="B120" s="6" t="s">
        <v>336</v>
      </c>
      <c r="C120" s="6" t="s">
        <v>337</v>
      </c>
      <c r="D120" s="6" t="s">
        <v>127</v>
      </c>
      <c r="E120" s="6" t="n">
        <v>180</v>
      </c>
      <c r="F120" s="6" t="n">
        <v>12</v>
      </c>
      <c r="G120" s="6" t="s">
        <v>338</v>
      </c>
      <c r="H120" s="6" t="s">
        <v>13</v>
      </c>
    </row>
    <row r="121" customFormat="false" ht="15" hidden="false" customHeight="true" outlineLevel="0" collapsed="false">
      <c r="A121" s="6" t="s">
        <v>339</v>
      </c>
      <c r="B121" s="6" t="s">
        <v>340</v>
      </c>
      <c r="C121" s="6" t="s">
        <v>337</v>
      </c>
      <c r="D121" s="6" t="s">
        <v>127</v>
      </c>
      <c r="E121" s="6" t="n">
        <v>155</v>
      </c>
      <c r="F121" s="6" t="n">
        <v>10</v>
      </c>
      <c r="G121" s="6" t="s">
        <v>287</v>
      </c>
      <c r="H121" s="6" t="s">
        <v>13</v>
      </c>
    </row>
    <row r="122" customFormat="false" ht="15" hidden="false" customHeight="true" outlineLevel="0" collapsed="false">
      <c r="A122" s="6" t="s">
        <v>341</v>
      </c>
      <c r="B122" s="6" t="s">
        <v>342</v>
      </c>
      <c r="C122" s="6" t="s">
        <v>337</v>
      </c>
      <c r="D122" s="6" t="s">
        <v>127</v>
      </c>
      <c r="E122" s="6" t="n">
        <v>420</v>
      </c>
      <c r="F122" s="6" t="n">
        <v>8</v>
      </c>
      <c r="G122" s="6" t="s">
        <v>343</v>
      </c>
      <c r="H122" s="6" t="s">
        <v>13</v>
      </c>
    </row>
    <row r="123" customFormat="false" ht="15" hidden="false" customHeight="true" outlineLevel="0" collapsed="false">
      <c r="A123" s="6" t="s">
        <v>344</v>
      </c>
      <c r="B123" s="6" t="s">
        <v>345</v>
      </c>
      <c r="C123" s="6" t="s">
        <v>337</v>
      </c>
      <c r="D123" s="6" t="s">
        <v>346</v>
      </c>
      <c r="E123" s="6" t="n">
        <v>280</v>
      </c>
      <c r="F123" s="6" t="n">
        <v>6</v>
      </c>
      <c r="G123" s="6" t="s">
        <v>347</v>
      </c>
      <c r="H123" s="6" t="s">
        <v>13</v>
      </c>
    </row>
    <row r="124" customFormat="false" ht="15" hidden="false" customHeight="true" outlineLevel="0" collapsed="false">
      <c r="A124" s="6" t="s">
        <v>348</v>
      </c>
      <c r="B124" s="6" t="s">
        <v>349</v>
      </c>
      <c r="C124" s="6" t="s">
        <v>337</v>
      </c>
      <c r="D124" s="6" t="s">
        <v>274</v>
      </c>
      <c r="E124" s="6" t="n">
        <v>350</v>
      </c>
      <c r="F124" s="6" t="n">
        <v>8</v>
      </c>
      <c r="G124" s="6" t="s">
        <v>350</v>
      </c>
      <c r="H124" s="6" t="s">
        <v>13</v>
      </c>
    </row>
    <row r="125" customFormat="false" ht="15" hidden="false" customHeight="true" outlineLevel="0" collapsed="false">
      <c r="A125" s="6" t="s">
        <v>351</v>
      </c>
      <c r="B125" s="6" t="s">
        <v>352</v>
      </c>
      <c r="C125" s="6" t="s">
        <v>337</v>
      </c>
      <c r="D125" s="6" t="s">
        <v>274</v>
      </c>
      <c r="E125" s="6" t="n">
        <v>290</v>
      </c>
      <c r="F125" s="6" t="n">
        <v>1</v>
      </c>
      <c r="G125" s="6" t="s">
        <v>124</v>
      </c>
      <c r="H125" s="6" t="s">
        <v>13</v>
      </c>
    </row>
    <row r="126" customFormat="false" ht="15" hidden="false" customHeight="true" outlineLevel="0" collapsed="false">
      <c r="A126" s="6" t="s">
        <v>353</v>
      </c>
      <c r="B126" s="6" t="s">
        <v>354</v>
      </c>
      <c r="C126" s="6" t="s">
        <v>337</v>
      </c>
      <c r="D126" s="6" t="s">
        <v>274</v>
      </c>
      <c r="E126" s="6" t="n">
        <v>210</v>
      </c>
      <c r="F126" s="6" t="n">
        <v>3</v>
      </c>
      <c r="G126" s="6" t="s">
        <v>334</v>
      </c>
      <c r="H126" s="6" t="s">
        <v>13</v>
      </c>
    </row>
    <row r="127" customFormat="false" ht="15" hidden="false" customHeight="true" outlineLevel="0" collapsed="false">
      <c r="A127" s="6" t="s">
        <v>355</v>
      </c>
      <c r="B127" s="6" t="s">
        <v>356</v>
      </c>
      <c r="C127" s="6" t="s">
        <v>337</v>
      </c>
      <c r="D127" s="6" t="s">
        <v>274</v>
      </c>
      <c r="E127" s="6" t="n">
        <v>165</v>
      </c>
      <c r="F127" s="6" t="n">
        <v>1.5</v>
      </c>
      <c r="G127" s="6" t="s">
        <v>357</v>
      </c>
      <c r="H127" s="6" t="s">
        <v>13</v>
      </c>
    </row>
    <row r="128" customFormat="false" ht="15" hidden="false" customHeight="true" outlineLevel="0" collapsed="false">
      <c r="A128" s="6" t="s">
        <v>358</v>
      </c>
      <c r="B128" s="6" t="s">
        <v>359</v>
      </c>
      <c r="C128" s="6" t="s">
        <v>337</v>
      </c>
      <c r="D128" s="6" t="s">
        <v>11</v>
      </c>
      <c r="E128" s="6" t="n">
        <v>185</v>
      </c>
      <c r="F128" s="6" t="n">
        <v>0.5</v>
      </c>
      <c r="G128" s="6" t="s">
        <v>360</v>
      </c>
      <c r="H128" s="6" t="s">
        <v>13</v>
      </c>
    </row>
    <row r="129" customFormat="false" ht="15" hidden="false" customHeight="true" outlineLevel="0" collapsed="false">
      <c r="A129" s="6" t="s">
        <v>361</v>
      </c>
      <c r="B129" s="6" t="s">
        <v>362</v>
      </c>
      <c r="C129" s="6" t="s">
        <v>337</v>
      </c>
      <c r="D129" s="6" t="s">
        <v>11</v>
      </c>
      <c r="E129" s="6" t="n">
        <v>140</v>
      </c>
      <c r="F129" s="6" t="n">
        <v>2</v>
      </c>
      <c r="G129" s="6" t="s">
        <v>363</v>
      </c>
      <c r="H129" s="6" t="s">
        <v>13</v>
      </c>
    </row>
    <row r="130" customFormat="false" ht="15" hidden="false" customHeight="true" outlineLevel="0" collapsed="false">
      <c r="A130" s="6" t="s">
        <v>364</v>
      </c>
      <c r="B130" s="6" t="s">
        <v>365</v>
      </c>
      <c r="C130" s="6" t="s">
        <v>337</v>
      </c>
      <c r="D130" s="6" t="s">
        <v>11</v>
      </c>
      <c r="E130" s="6" t="n">
        <v>195</v>
      </c>
      <c r="F130" s="6" t="n">
        <v>1.5</v>
      </c>
      <c r="G130" s="6" t="s">
        <v>366</v>
      </c>
      <c r="H130" s="6" t="s">
        <v>13</v>
      </c>
    </row>
    <row r="131" customFormat="false" ht="15" hidden="false" customHeight="true" outlineLevel="0" collapsed="false">
      <c r="A131" s="6" t="s">
        <v>367</v>
      </c>
      <c r="B131" s="6" t="s">
        <v>368</v>
      </c>
      <c r="C131" s="6" t="s">
        <v>337</v>
      </c>
      <c r="D131" s="6" t="s">
        <v>179</v>
      </c>
      <c r="E131" s="6" t="n">
        <v>380</v>
      </c>
      <c r="F131" s="6" t="n">
        <v>1</v>
      </c>
      <c r="G131" s="6" t="s">
        <v>369</v>
      </c>
      <c r="H131" s="6" t="s">
        <v>13</v>
      </c>
    </row>
    <row r="132" customFormat="false" ht="15" hidden="false" customHeight="true" outlineLevel="0" collapsed="false">
      <c r="A132" s="6" t="s">
        <v>370</v>
      </c>
      <c r="B132" s="6" t="s">
        <v>371</v>
      </c>
      <c r="C132" s="6" t="s">
        <v>337</v>
      </c>
      <c r="D132" s="6" t="s">
        <v>179</v>
      </c>
      <c r="E132" s="6" t="n">
        <v>120</v>
      </c>
      <c r="F132" s="6" t="n">
        <v>3</v>
      </c>
      <c r="G132" s="6" t="s">
        <v>195</v>
      </c>
      <c r="H132" s="6" t="s">
        <v>13</v>
      </c>
    </row>
    <row r="133" customFormat="false" ht="15" hidden="false" customHeight="true" outlineLevel="0" collapsed="false">
      <c r="A133" s="6" t="s">
        <v>372</v>
      </c>
      <c r="B133" s="6" t="s">
        <v>373</v>
      </c>
      <c r="C133" s="6" t="s">
        <v>337</v>
      </c>
      <c r="D133" s="6" t="s">
        <v>346</v>
      </c>
      <c r="E133" s="6" t="n">
        <v>520</v>
      </c>
      <c r="F133" s="6" t="n">
        <v>5</v>
      </c>
      <c r="G133" s="6" t="s">
        <v>374</v>
      </c>
      <c r="H133" s="6" t="s">
        <v>13</v>
      </c>
    </row>
    <row r="134" customFormat="false" ht="15" hidden="false" customHeight="true" outlineLevel="0" collapsed="false">
      <c r="A134" s="6" t="s">
        <v>375</v>
      </c>
      <c r="B134" s="6" t="s">
        <v>376</v>
      </c>
      <c r="C134" s="6" t="s">
        <v>337</v>
      </c>
      <c r="D134" s="6" t="s">
        <v>274</v>
      </c>
      <c r="E134" s="6" t="n">
        <v>450</v>
      </c>
      <c r="F134" s="6" t="n">
        <v>4</v>
      </c>
      <c r="G134" s="6" t="s">
        <v>377</v>
      </c>
      <c r="H134" s="6" t="s">
        <v>13</v>
      </c>
    </row>
    <row r="135" customFormat="false" ht="15" hidden="false" customHeight="true" outlineLevel="0" collapsed="false">
      <c r="A135" s="7" t="s">
        <v>378</v>
      </c>
      <c r="B135" s="7" t="s">
        <v>379</v>
      </c>
      <c r="C135" s="7" t="s">
        <v>380</v>
      </c>
      <c r="D135" s="7" t="s">
        <v>381</v>
      </c>
      <c r="E135" s="7" t="n">
        <v>1200</v>
      </c>
      <c r="F135" s="7" t="n">
        <v>4</v>
      </c>
      <c r="G135" s="7" t="s">
        <v>382</v>
      </c>
      <c r="H135" s="7" t="s">
        <v>13</v>
      </c>
    </row>
    <row r="136" customFormat="false" ht="15" hidden="false" customHeight="true" outlineLevel="0" collapsed="false">
      <c r="A136" s="7" t="s">
        <v>383</v>
      </c>
      <c r="B136" s="7" t="s">
        <v>384</v>
      </c>
      <c r="C136" s="7" t="s">
        <v>380</v>
      </c>
      <c r="D136" s="7" t="s">
        <v>381</v>
      </c>
      <c r="E136" s="7" t="n">
        <v>850</v>
      </c>
      <c r="F136" s="7" t="n">
        <v>12</v>
      </c>
      <c r="G136" s="7" t="s">
        <v>385</v>
      </c>
      <c r="H136" s="7" t="s">
        <v>13</v>
      </c>
    </row>
    <row r="137" customFormat="false" ht="15" hidden="false" customHeight="true" outlineLevel="0" collapsed="false">
      <c r="A137" s="7" t="s">
        <v>386</v>
      </c>
      <c r="B137" s="7" t="s">
        <v>387</v>
      </c>
      <c r="C137" s="7" t="s">
        <v>380</v>
      </c>
      <c r="D137" s="7" t="s">
        <v>381</v>
      </c>
      <c r="E137" s="7" t="n">
        <v>980</v>
      </c>
      <c r="F137" s="7" t="n">
        <v>2</v>
      </c>
      <c r="G137" s="7" t="s">
        <v>388</v>
      </c>
      <c r="H137" s="7" t="s">
        <v>13</v>
      </c>
    </row>
    <row r="138" customFormat="false" ht="15" hidden="false" customHeight="true" outlineLevel="0" collapsed="false">
      <c r="A138" s="7" t="s">
        <v>389</v>
      </c>
      <c r="B138" s="7" t="s">
        <v>390</v>
      </c>
      <c r="C138" s="7" t="s">
        <v>380</v>
      </c>
      <c r="D138" s="7" t="s">
        <v>274</v>
      </c>
      <c r="E138" s="7" t="n">
        <v>680</v>
      </c>
      <c r="F138" s="7" t="n">
        <v>8</v>
      </c>
      <c r="G138" s="7" t="s">
        <v>391</v>
      </c>
      <c r="H138" s="7" t="s">
        <v>13</v>
      </c>
    </row>
    <row r="139" customFormat="false" ht="15" hidden="false" customHeight="true" outlineLevel="0" collapsed="false">
      <c r="A139" s="7" t="s">
        <v>392</v>
      </c>
      <c r="B139" s="7" t="s">
        <v>393</v>
      </c>
      <c r="C139" s="7" t="s">
        <v>380</v>
      </c>
      <c r="D139" s="7" t="s">
        <v>346</v>
      </c>
      <c r="E139" s="7" t="n">
        <v>1500</v>
      </c>
      <c r="F139" s="7" t="n">
        <v>15</v>
      </c>
      <c r="G139" s="7" t="s">
        <v>394</v>
      </c>
      <c r="H139" s="7" t="s">
        <v>13</v>
      </c>
    </row>
    <row r="140" customFormat="false" ht="15" hidden="false" customHeight="true" outlineLevel="0" collapsed="false">
      <c r="A140" s="7" t="s">
        <v>395</v>
      </c>
      <c r="B140" s="7" t="s">
        <v>396</v>
      </c>
      <c r="C140" s="7" t="s">
        <v>380</v>
      </c>
      <c r="D140" s="7" t="s">
        <v>346</v>
      </c>
      <c r="E140" s="7" t="n">
        <v>920</v>
      </c>
      <c r="F140" s="7" t="n">
        <v>20</v>
      </c>
      <c r="G140" s="7" t="s">
        <v>397</v>
      </c>
      <c r="H140" s="7" t="s">
        <v>13</v>
      </c>
    </row>
    <row r="141" customFormat="false" ht="15" hidden="false" customHeight="true" outlineLevel="0" collapsed="false">
      <c r="A141" s="7" t="s">
        <v>398</v>
      </c>
      <c r="B141" s="7" t="s">
        <v>399</v>
      </c>
      <c r="C141" s="7" t="s">
        <v>380</v>
      </c>
      <c r="D141" s="7" t="s">
        <v>274</v>
      </c>
      <c r="E141" s="7" t="n">
        <v>750</v>
      </c>
      <c r="F141" s="7" t="n">
        <v>6</v>
      </c>
      <c r="G141" s="7" t="s">
        <v>400</v>
      </c>
      <c r="H141" s="7" t="s">
        <v>13</v>
      </c>
    </row>
    <row r="142" customFormat="false" ht="15" hidden="false" customHeight="true" outlineLevel="0" collapsed="false">
      <c r="A142" s="7" t="s">
        <v>401</v>
      </c>
      <c r="B142" s="7" t="s">
        <v>402</v>
      </c>
      <c r="C142" s="7" t="s">
        <v>380</v>
      </c>
      <c r="D142" s="7" t="s">
        <v>277</v>
      </c>
      <c r="E142" s="7" t="n">
        <v>1800</v>
      </c>
      <c r="F142" s="7" t="n">
        <v>10</v>
      </c>
      <c r="G142" s="7" t="s">
        <v>403</v>
      </c>
      <c r="H142" s="7" t="s">
        <v>13</v>
      </c>
    </row>
    <row r="143" customFormat="false" ht="15" hidden="false" customHeight="true" outlineLevel="0" collapsed="false">
      <c r="A143" s="7" t="s">
        <v>404</v>
      </c>
      <c r="B143" s="7" t="s">
        <v>405</v>
      </c>
      <c r="C143" s="7" t="s">
        <v>380</v>
      </c>
      <c r="D143" s="7" t="s">
        <v>127</v>
      </c>
      <c r="E143" s="7" t="n">
        <v>580</v>
      </c>
      <c r="F143" s="7" t="n">
        <v>25</v>
      </c>
      <c r="G143" s="7" t="s">
        <v>406</v>
      </c>
      <c r="H143" s="7" t="s">
        <v>13</v>
      </c>
    </row>
    <row r="144" customFormat="false" ht="15" hidden="false" customHeight="true" outlineLevel="0" collapsed="false">
      <c r="A144" s="7" t="s">
        <v>407</v>
      </c>
      <c r="B144" s="7" t="s">
        <v>408</v>
      </c>
      <c r="C144" s="7" t="s">
        <v>380</v>
      </c>
      <c r="D144" s="7" t="s">
        <v>346</v>
      </c>
      <c r="E144" s="7" t="n">
        <v>720</v>
      </c>
      <c r="F144" s="7" t="n">
        <v>8</v>
      </c>
      <c r="G144" s="7" t="s">
        <v>409</v>
      </c>
      <c r="H144" s="7" t="s">
        <v>13</v>
      </c>
    </row>
    <row r="145" customFormat="false" ht="15" hidden="false" customHeight="true" outlineLevel="0" collapsed="false">
      <c r="A145" s="7" t="s">
        <v>410</v>
      </c>
      <c r="B145" s="7" t="s">
        <v>411</v>
      </c>
      <c r="C145" s="7" t="s">
        <v>380</v>
      </c>
      <c r="D145" s="7" t="s">
        <v>11</v>
      </c>
      <c r="E145" s="7" t="n">
        <v>350</v>
      </c>
      <c r="F145" s="7" t="n">
        <v>2.5</v>
      </c>
      <c r="G145" s="7" t="s">
        <v>412</v>
      </c>
      <c r="H145" s="7" t="s">
        <v>13</v>
      </c>
    </row>
    <row r="146" customFormat="false" ht="15" hidden="false" customHeight="true" outlineLevel="0" collapsed="false">
      <c r="A146" s="7" t="s">
        <v>413</v>
      </c>
      <c r="B146" s="7" t="s">
        <v>414</v>
      </c>
      <c r="C146" s="7" t="s">
        <v>380</v>
      </c>
      <c r="D146" s="7" t="s">
        <v>11</v>
      </c>
      <c r="E146" s="7" t="n">
        <v>280</v>
      </c>
      <c r="F146" s="7" t="n">
        <v>1</v>
      </c>
      <c r="G146" s="7" t="s">
        <v>226</v>
      </c>
      <c r="H146" s="7" t="s">
        <v>13</v>
      </c>
    </row>
    <row r="147" customFormat="false" ht="15" hidden="false" customHeight="true" outlineLevel="0" collapsed="false">
      <c r="A147" s="7" t="s">
        <v>415</v>
      </c>
      <c r="B147" s="7" t="s">
        <v>416</v>
      </c>
      <c r="C147" s="7" t="s">
        <v>380</v>
      </c>
      <c r="D147" s="7" t="s">
        <v>11</v>
      </c>
      <c r="E147" s="7" t="n">
        <v>320</v>
      </c>
      <c r="F147" s="7" t="n">
        <v>2</v>
      </c>
      <c r="G147" s="7" t="s">
        <v>317</v>
      </c>
      <c r="H147" s="7" t="s">
        <v>13</v>
      </c>
    </row>
    <row r="148" customFormat="false" ht="15" hidden="false" customHeight="true" outlineLevel="0" collapsed="false">
      <c r="A148" s="8" t="s">
        <v>417</v>
      </c>
      <c r="B148" s="8" t="s">
        <v>418</v>
      </c>
      <c r="C148" s="8" t="s">
        <v>419</v>
      </c>
      <c r="D148" s="8" t="s">
        <v>381</v>
      </c>
      <c r="E148" s="8" t="n">
        <v>3500</v>
      </c>
      <c r="F148" s="8" t="n">
        <v>3</v>
      </c>
      <c r="G148" s="8" t="s">
        <v>420</v>
      </c>
      <c r="H148" s="8" t="s">
        <v>13</v>
      </c>
    </row>
    <row r="149" customFormat="false" ht="15" hidden="false" customHeight="true" outlineLevel="0" collapsed="false">
      <c r="A149" s="8" t="s">
        <v>421</v>
      </c>
      <c r="B149" s="8" t="s">
        <v>422</v>
      </c>
      <c r="C149" s="8" t="s">
        <v>419</v>
      </c>
      <c r="D149" s="8" t="s">
        <v>381</v>
      </c>
      <c r="E149" s="8" t="n">
        <v>5200</v>
      </c>
      <c r="F149" s="8" t="n">
        <v>18</v>
      </c>
      <c r="G149" s="8" t="s">
        <v>423</v>
      </c>
      <c r="H149" s="8" t="s">
        <v>13</v>
      </c>
    </row>
    <row r="150" customFormat="false" ht="15" hidden="false" customHeight="true" outlineLevel="0" collapsed="false">
      <c r="A150" s="8" t="s">
        <v>424</v>
      </c>
      <c r="B150" s="8" t="s">
        <v>425</v>
      </c>
      <c r="C150" s="8" t="s">
        <v>419</v>
      </c>
      <c r="D150" s="8" t="s">
        <v>426</v>
      </c>
      <c r="E150" s="8" t="n">
        <v>4800</v>
      </c>
      <c r="F150" s="8" t="n">
        <v>5</v>
      </c>
      <c r="G150" s="8" t="s">
        <v>427</v>
      </c>
      <c r="H150" s="8" t="s">
        <v>13</v>
      </c>
    </row>
    <row r="151" customFormat="false" ht="15" hidden="false" customHeight="true" outlineLevel="0" collapsed="false">
      <c r="A151" s="8" t="s">
        <v>428</v>
      </c>
      <c r="B151" s="8" t="s">
        <v>429</v>
      </c>
      <c r="C151" s="8" t="s">
        <v>419</v>
      </c>
      <c r="D151" s="8" t="s">
        <v>89</v>
      </c>
      <c r="E151" s="8" t="n">
        <v>12000</v>
      </c>
      <c r="F151" s="8" t="n">
        <v>25</v>
      </c>
      <c r="G151" s="8" t="s">
        <v>430</v>
      </c>
      <c r="H151" s="8" t="s">
        <v>13</v>
      </c>
    </row>
    <row r="152" customFormat="false" ht="15" hidden="false" customHeight="true" outlineLevel="0" collapsed="false">
      <c r="A152" s="8" t="s">
        <v>431</v>
      </c>
      <c r="B152" s="8" t="s">
        <v>432</v>
      </c>
      <c r="C152" s="8" t="s">
        <v>419</v>
      </c>
      <c r="D152" s="8" t="s">
        <v>433</v>
      </c>
      <c r="E152" s="8" t="n">
        <v>2800</v>
      </c>
      <c r="F152" s="8" t="n">
        <v>0.2</v>
      </c>
      <c r="G152" s="8" t="s">
        <v>434</v>
      </c>
      <c r="H152" s="8" t="s">
        <v>13</v>
      </c>
    </row>
    <row r="153" customFormat="false" ht="15" hidden="false" customHeight="true" outlineLevel="0" collapsed="false">
      <c r="A153" s="8" t="s">
        <v>435</v>
      </c>
      <c r="B153" s="8" t="s">
        <v>436</v>
      </c>
      <c r="C153" s="8" t="s">
        <v>419</v>
      </c>
      <c r="D153" s="8" t="s">
        <v>11</v>
      </c>
      <c r="E153" s="8" t="n">
        <v>950</v>
      </c>
      <c r="F153" s="8" t="n">
        <v>3</v>
      </c>
      <c r="G153" s="8" t="s">
        <v>437</v>
      </c>
      <c r="H153" s="8" t="s">
        <v>13</v>
      </c>
    </row>
    <row r="154" customFormat="false" ht="15" hidden="false" customHeight="true" outlineLevel="0" collapsed="false">
      <c r="A154" s="8" t="s">
        <v>438</v>
      </c>
      <c r="B154" s="8" t="s">
        <v>439</v>
      </c>
      <c r="C154" s="8" t="s">
        <v>419</v>
      </c>
      <c r="D154" s="8" t="s">
        <v>277</v>
      </c>
      <c r="E154" s="8" t="n">
        <v>8500</v>
      </c>
      <c r="F154" s="8" t="n">
        <v>12</v>
      </c>
      <c r="G154" s="8" t="s">
        <v>440</v>
      </c>
      <c r="H154" s="8" t="s">
        <v>13</v>
      </c>
    </row>
    <row r="155" customFormat="false" ht="15" hidden="false" customHeight="true" outlineLevel="0" collapsed="false">
      <c r="A155" s="8" t="s">
        <v>441</v>
      </c>
      <c r="B155" s="8" t="s">
        <v>442</v>
      </c>
      <c r="C155" s="8" t="s">
        <v>419</v>
      </c>
      <c r="D155" s="8" t="s">
        <v>277</v>
      </c>
      <c r="E155" s="8" t="n">
        <v>3200</v>
      </c>
      <c r="F155" s="8" t="n">
        <v>8</v>
      </c>
      <c r="G155" s="8" t="s">
        <v>443</v>
      </c>
      <c r="H155" s="8" t="s">
        <v>13</v>
      </c>
    </row>
    <row r="156" customFormat="false" ht="15" hidden="false" customHeight="true" outlineLevel="0" collapsed="false">
      <c r="A156" s="8" t="s">
        <v>444</v>
      </c>
      <c r="B156" s="8" t="s">
        <v>445</v>
      </c>
      <c r="C156" s="8" t="s">
        <v>419</v>
      </c>
      <c r="D156" s="8" t="s">
        <v>11</v>
      </c>
      <c r="E156" s="8" t="n">
        <v>1200</v>
      </c>
      <c r="F156" s="8" t="n">
        <v>5</v>
      </c>
      <c r="G156" s="8" t="s">
        <v>446</v>
      </c>
      <c r="H156" s="8" t="s">
        <v>13</v>
      </c>
    </row>
    <row r="157" customFormat="false" ht="15" hidden="false" customHeight="true" outlineLevel="0" collapsed="false">
      <c r="A157" s="8" t="s">
        <v>447</v>
      </c>
      <c r="B157" s="8" t="s">
        <v>448</v>
      </c>
      <c r="C157" s="8" t="s">
        <v>419</v>
      </c>
      <c r="D157" s="8" t="s">
        <v>11</v>
      </c>
      <c r="E157" s="8" t="n">
        <v>1800</v>
      </c>
      <c r="F157" s="8" t="n">
        <v>8</v>
      </c>
      <c r="G157" s="8" t="s">
        <v>449</v>
      </c>
      <c r="H157" s="8" t="s">
        <v>13</v>
      </c>
    </row>
  </sheetData>
  <autoFilter ref="A1:H1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U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5" min="5" style="1" width="22"/>
    <col collapsed="false" customWidth="true" hidden="false" outlineLevel="0" max="6" min="6" style="1" width="6"/>
    <col collapsed="false" customWidth="true" hidden="false" outlineLevel="0" max="7" min="7" style="1" width="22"/>
    <col collapsed="false" customWidth="true" hidden="false" outlineLevel="0" max="8" min="8" style="1" width="6"/>
    <col collapsed="false" customWidth="true" hidden="false" outlineLevel="0" max="9" min="9" style="1" width="22"/>
    <col collapsed="false" customWidth="true" hidden="false" outlineLevel="0" max="10" min="10" style="1" width="6"/>
    <col collapsed="false" customWidth="true" hidden="false" outlineLevel="0" max="11" min="11" style="1" width="22"/>
    <col collapsed="false" customWidth="true" hidden="false" outlineLevel="0" max="12" min="12" style="1" width="6"/>
    <col collapsed="false" customWidth="true" hidden="false" outlineLevel="0" max="13" min="13" style="1" width="10"/>
    <col collapsed="false" customWidth="true" hidden="false" outlineLevel="0" max="15" min="14" style="1" width="14"/>
    <col collapsed="false" customWidth="true" hidden="false" outlineLevel="0" max="17" min="16" style="1" width="12"/>
    <col collapsed="false" customWidth="true" hidden="false" outlineLevel="0" max="19" min="18" style="0" width="14"/>
    <col collapsed="false" customWidth="true" hidden="false" outlineLevel="0" max="21" min="20" style="0" width="20"/>
  </cols>
  <sheetData>
    <row r="1" customFormat="false" ht="39" hidden="false" customHeight="true" outlineLevel="0" collapsed="false">
      <c r="A1" s="2" t="s">
        <v>450</v>
      </c>
      <c r="B1" s="2" t="s">
        <v>2</v>
      </c>
      <c r="C1" s="2" t="s">
        <v>451</v>
      </c>
      <c r="D1" s="2" t="s">
        <v>452</v>
      </c>
      <c r="E1" s="2" t="s">
        <v>453</v>
      </c>
      <c r="F1" s="2" t="s">
        <v>454</v>
      </c>
      <c r="G1" s="2" t="s">
        <v>455</v>
      </c>
      <c r="H1" s="2" t="s">
        <v>456</v>
      </c>
      <c r="I1" s="2" t="s">
        <v>457</v>
      </c>
      <c r="J1" s="2" t="s">
        <v>458</v>
      </c>
      <c r="K1" s="2" t="s">
        <v>459</v>
      </c>
      <c r="L1" s="2" t="s">
        <v>460</v>
      </c>
      <c r="M1" s="2" t="s">
        <v>461</v>
      </c>
      <c r="N1" s="2" t="s">
        <v>462</v>
      </c>
      <c r="O1" s="2" t="s">
        <v>463</v>
      </c>
      <c r="P1" s="2" t="s">
        <v>464</v>
      </c>
      <c r="Q1" s="2" t="s">
        <v>465</v>
      </c>
      <c r="R1" s="2" t="s">
        <v>466</v>
      </c>
      <c r="S1" s="2" t="s">
        <v>467</v>
      </c>
      <c r="T1" s="2" t="s">
        <v>468</v>
      </c>
      <c r="U1" s="2" t="s">
        <v>469</v>
      </c>
    </row>
    <row r="2" customFormat="false" ht="15" hidden="false" customHeight="true" outlineLevel="0" collapsed="false">
      <c r="A2" s="4" t="s">
        <v>109</v>
      </c>
      <c r="B2" s="4" t="s">
        <v>110</v>
      </c>
      <c r="C2" s="4" t="s">
        <v>109</v>
      </c>
      <c r="D2" s="4" t="n">
        <v>4</v>
      </c>
      <c r="E2" s="4" t="s">
        <v>55</v>
      </c>
      <c r="F2" s="4" t="n">
        <v>2</v>
      </c>
      <c r="G2" s="4" t="s">
        <v>49</v>
      </c>
      <c r="H2" s="4" t="n">
        <v>2</v>
      </c>
      <c r="I2" s="4"/>
      <c r="J2" s="4"/>
      <c r="K2" s="4"/>
      <c r="L2" s="4"/>
      <c r="M2" s="4" t="n">
        <v>5</v>
      </c>
      <c r="N2" s="9" t="n">
        <f aca="false">F2*18+H2*10</f>
        <v>56</v>
      </c>
      <c r="O2" s="9" t="n">
        <f aca="false">D2*55</f>
        <v>220</v>
      </c>
      <c r="P2" s="9" t="n">
        <f aca="false">O2-N2</f>
        <v>164</v>
      </c>
      <c r="Q2" s="9" t="n">
        <f aca="false">IF(M2&gt;0,P2/M2,0)</f>
        <v>32.8</v>
      </c>
      <c r="R2" s="10" t="n">
        <v>4</v>
      </c>
      <c r="S2" s="10" t="n">
        <f aca="false">FLOOR(1000/R2,1)</f>
        <v>250</v>
      </c>
      <c r="T2" s="10" t="n">
        <f aca="false">IF(D2&gt;0, (P2/D2)*S2, 0)</f>
        <v>10250</v>
      </c>
      <c r="U2" s="10" t="n">
        <f aca="false">IF(M2&gt;0, T2/M2, 0)</f>
        <v>2050</v>
      </c>
    </row>
    <row r="3" customFormat="false" ht="15" hidden="false" customHeight="true" outlineLevel="0" collapsed="false">
      <c r="A3" s="4" t="s">
        <v>114</v>
      </c>
      <c r="B3" s="4" t="s">
        <v>110</v>
      </c>
      <c r="C3" s="4" t="s">
        <v>114</v>
      </c>
      <c r="D3" s="4" t="n">
        <v>5</v>
      </c>
      <c r="E3" s="4" t="s">
        <v>52</v>
      </c>
      <c r="F3" s="4" t="n">
        <v>2</v>
      </c>
      <c r="G3" s="4" t="s">
        <v>49</v>
      </c>
      <c r="H3" s="4" t="n">
        <v>1</v>
      </c>
      <c r="I3" s="4"/>
      <c r="J3" s="4"/>
      <c r="K3" s="4"/>
      <c r="L3" s="4"/>
      <c r="M3" s="4" t="n">
        <v>3</v>
      </c>
      <c r="N3" s="9" t="n">
        <f aca="false">F3*12+H3*10</f>
        <v>34</v>
      </c>
      <c r="O3" s="9" t="n">
        <f aca="false">D3*38</f>
        <v>190</v>
      </c>
      <c r="P3" s="9" t="n">
        <f aca="false">O3-N3</f>
        <v>156</v>
      </c>
      <c r="Q3" s="9" t="n">
        <f aca="false">IF(M3&gt;0,P3/M3,0)</f>
        <v>52</v>
      </c>
      <c r="R3" s="10" t="n">
        <v>6</v>
      </c>
      <c r="S3" s="10" t="n">
        <f aca="false">FLOOR(1000/R3,1)</f>
        <v>166</v>
      </c>
      <c r="T3" s="10" t="n">
        <f aca="false">IF(D3&gt;0, (P3/D3)*S3, 0)</f>
        <v>5179.2</v>
      </c>
      <c r="U3" s="10" t="n">
        <f aca="false">IF(M3&gt;0, T3/M3, 0)</f>
        <v>1726.4</v>
      </c>
    </row>
    <row r="4" customFormat="false" ht="15" hidden="false" customHeight="true" outlineLevel="0" collapsed="false">
      <c r="A4" s="4" t="s">
        <v>117</v>
      </c>
      <c r="B4" s="4" t="s">
        <v>110</v>
      </c>
      <c r="C4" s="4" t="s">
        <v>117</v>
      </c>
      <c r="D4" s="4" t="n">
        <v>5</v>
      </c>
      <c r="E4" s="4" t="s">
        <v>45</v>
      </c>
      <c r="F4" s="4" t="n">
        <v>2</v>
      </c>
      <c r="G4" s="4" t="s">
        <v>49</v>
      </c>
      <c r="H4" s="4" t="n">
        <v>1</v>
      </c>
      <c r="I4" s="4"/>
      <c r="J4" s="4"/>
      <c r="K4" s="4"/>
      <c r="L4" s="4"/>
      <c r="M4" s="4" t="n">
        <v>4</v>
      </c>
      <c r="N4" s="9" t="n">
        <f aca="false">F4*15+H4*10</f>
        <v>40</v>
      </c>
      <c r="O4" s="9" t="n">
        <f aca="false">D4*45</f>
        <v>225</v>
      </c>
      <c r="P4" s="9" t="n">
        <f aca="false">O4-N4</f>
        <v>185</v>
      </c>
      <c r="Q4" s="9" t="n">
        <f aca="false">IF(M4&gt;0,P4/M4,0)</f>
        <v>46.25</v>
      </c>
      <c r="R4" s="10" t="n">
        <v>8</v>
      </c>
      <c r="S4" s="10" t="n">
        <f aca="false">FLOOR(1000/R4,1)</f>
        <v>125</v>
      </c>
      <c r="T4" s="10" t="n">
        <f aca="false">IF(D4&gt;0, (P4/D4)*S4, 0)</f>
        <v>4625</v>
      </c>
      <c r="U4" s="10" t="n">
        <f aca="false">IF(M4&gt;0, T4/M4, 0)</f>
        <v>1156.25</v>
      </c>
    </row>
    <row r="5" customFormat="false" ht="15" hidden="false" customHeight="true" outlineLevel="0" collapsed="false">
      <c r="A5" s="4" t="s">
        <v>120</v>
      </c>
      <c r="B5" s="4" t="s">
        <v>110</v>
      </c>
      <c r="C5" s="4" t="s">
        <v>120</v>
      </c>
      <c r="D5" s="4" t="n">
        <v>2</v>
      </c>
      <c r="E5" s="4" t="s">
        <v>57</v>
      </c>
      <c r="F5" s="4" t="n">
        <v>3</v>
      </c>
      <c r="G5" s="4" t="s">
        <v>49</v>
      </c>
      <c r="H5" s="4" t="n">
        <v>2</v>
      </c>
      <c r="I5" s="4"/>
      <c r="J5" s="4"/>
      <c r="K5" s="4"/>
      <c r="L5" s="4"/>
      <c r="M5" s="4" t="n">
        <v>8</v>
      </c>
      <c r="N5" s="9" t="n">
        <f aca="false">F5*45+H5*10</f>
        <v>155</v>
      </c>
      <c r="O5" s="9" t="n">
        <f aca="false">D5*150</f>
        <v>300</v>
      </c>
      <c r="P5" s="9" t="n">
        <f aca="false">O5-N5</f>
        <v>145</v>
      </c>
      <c r="Q5" s="9" t="n">
        <f aca="false">IF(M5&gt;0,P5/M5,0)</f>
        <v>18.125</v>
      </c>
      <c r="R5" s="10" t="n">
        <v>3</v>
      </c>
      <c r="S5" s="10" t="n">
        <f aca="false">FLOOR(1000/R5,1)</f>
        <v>333</v>
      </c>
      <c r="T5" s="10" t="n">
        <f aca="false">IF(D5&gt;0, (P5/D5)*S5, 0)</f>
        <v>24142.5</v>
      </c>
      <c r="U5" s="10" t="n">
        <f aca="false">IF(M5&gt;0, T5/M5, 0)</f>
        <v>3017.8125</v>
      </c>
    </row>
    <row r="6" customFormat="false" ht="15" hidden="false" customHeight="true" outlineLevel="0" collapsed="false">
      <c r="A6" s="4" t="s">
        <v>123</v>
      </c>
      <c r="B6" s="4" t="s">
        <v>110</v>
      </c>
      <c r="C6" s="4" t="s">
        <v>123</v>
      </c>
      <c r="D6" s="4" t="n">
        <v>4</v>
      </c>
      <c r="E6" s="4" t="s">
        <v>59</v>
      </c>
      <c r="F6" s="4" t="n">
        <v>2</v>
      </c>
      <c r="G6" s="4" t="s">
        <v>49</v>
      </c>
      <c r="H6" s="4" t="n">
        <v>2</v>
      </c>
      <c r="I6" s="4"/>
      <c r="J6" s="4"/>
      <c r="K6" s="4"/>
      <c r="L6" s="4"/>
      <c r="M6" s="4" t="n">
        <v>6</v>
      </c>
      <c r="N6" s="9" t="n">
        <f aca="false">F6*30+H6*10</f>
        <v>80</v>
      </c>
      <c r="O6" s="9" t="n">
        <f aca="false">D6*90</f>
        <v>360</v>
      </c>
      <c r="P6" s="9" t="n">
        <f aca="false">O6-N6</f>
        <v>280</v>
      </c>
      <c r="Q6" s="9" t="n">
        <f aca="false">IF(M6&gt;0,P6/M6,0)</f>
        <v>46.6666666666667</v>
      </c>
      <c r="R6" s="10" t="n">
        <v>1.5</v>
      </c>
      <c r="S6" s="10" t="n">
        <f aca="false">FLOOR(1000/R6,1)</f>
        <v>666</v>
      </c>
      <c r="T6" s="10" t="n">
        <f aca="false">IF(D6&gt;0, (P6/D6)*S6, 0)</f>
        <v>46620</v>
      </c>
      <c r="U6" s="10" t="n">
        <f aca="false">IF(M6&gt;0, T6/M6, 0)</f>
        <v>7770</v>
      </c>
    </row>
    <row r="7" customFormat="false" ht="15" hidden="false" customHeight="true" outlineLevel="0" collapsed="false">
      <c r="A7" s="4" t="s">
        <v>126</v>
      </c>
      <c r="B7" s="4" t="s">
        <v>110</v>
      </c>
      <c r="C7" s="4" t="s">
        <v>126</v>
      </c>
      <c r="D7" s="4" t="n">
        <v>12</v>
      </c>
      <c r="E7" s="4" t="s">
        <v>74</v>
      </c>
      <c r="F7" s="4" t="n">
        <v>3</v>
      </c>
      <c r="G7" s="4" t="s">
        <v>49</v>
      </c>
      <c r="H7" s="4" t="n">
        <v>1</v>
      </c>
      <c r="I7" s="4"/>
      <c r="J7" s="4"/>
      <c r="K7" s="4"/>
      <c r="L7" s="4"/>
      <c r="M7" s="4" t="n">
        <v>2</v>
      </c>
      <c r="N7" s="9" t="n">
        <f aca="false">F7*4+H7*10</f>
        <v>22</v>
      </c>
      <c r="O7" s="9" t="n">
        <f aca="false">D7*15</f>
        <v>180</v>
      </c>
      <c r="P7" s="9" t="n">
        <f aca="false">O7-N7</f>
        <v>158</v>
      </c>
      <c r="Q7" s="9" t="n">
        <f aca="false">IF(M7&gt;0,P7/M7,0)</f>
        <v>79</v>
      </c>
      <c r="R7" s="10" t="n">
        <v>6</v>
      </c>
      <c r="S7" s="10" t="n">
        <f aca="false">FLOOR(1000/R7,1)</f>
        <v>166</v>
      </c>
      <c r="T7" s="10" t="n">
        <f aca="false">IF(D7&gt;0, (P7/D7)*S7, 0)</f>
        <v>2185.66666666667</v>
      </c>
      <c r="U7" s="10" t="n">
        <f aca="false">IF(M7&gt;0, T7/M7, 0)</f>
        <v>1092.83333333333</v>
      </c>
    </row>
    <row r="8" customFormat="false" ht="15" hidden="false" customHeight="true" outlineLevel="0" collapsed="false">
      <c r="A8" s="4" t="s">
        <v>130</v>
      </c>
      <c r="B8" s="4" t="s">
        <v>110</v>
      </c>
      <c r="C8" s="4" t="s">
        <v>130</v>
      </c>
      <c r="D8" s="4" t="n">
        <v>10</v>
      </c>
      <c r="E8" s="4" t="s">
        <v>72</v>
      </c>
      <c r="F8" s="4" t="n">
        <v>2</v>
      </c>
      <c r="G8" s="4" t="s">
        <v>42</v>
      </c>
      <c r="H8" s="4" t="n">
        <v>1</v>
      </c>
      <c r="I8" s="4"/>
      <c r="J8" s="4"/>
      <c r="K8" s="4"/>
      <c r="L8" s="4"/>
      <c r="M8" s="4" t="n">
        <v>2.5</v>
      </c>
      <c r="N8" s="9" t="n">
        <f aca="false">F8*6+H8*1</f>
        <v>13</v>
      </c>
      <c r="O8" s="9" t="n">
        <f aca="false">D8*20</f>
        <v>200</v>
      </c>
      <c r="P8" s="9" t="n">
        <f aca="false">O8-N8</f>
        <v>187</v>
      </c>
      <c r="Q8" s="9" t="n">
        <f aca="false">IF(M8&gt;0,P8/M8,0)</f>
        <v>74.8</v>
      </c>
      <c r="R8" s="10" t="n">
        <v>10</v>
      </c>
      <c r="S8" s="10" t="n">
        <f aca="false">FLOOR(1000/R8,1)</f>
        <v>100</v>
      </c>
      <c r="T8" s="10" t="n">
        <f aca="false">IF(D8&gt;0, (P8/D8)*S8, 0)</f>
        <v>1870</v>
      </c>
      <c r="U8" s="10" t="n">
        <f aca="false">IF(M8&gt;0, T8/M8, 0)</f>
        <v>748</v>
      </c>
    </row>
    <row r="9" customFormat="false" ht="15" hidden="false" customHeight="true" outlineLevel="0" collapsed="false">
      <c r="A9" s="4" t="s">
        <v>133</v>
      </c>
      <c r="B9" s="4" t="s">
        <v>110</v>
      </c>
      <c r="C9" s="4" t="s">
        <v>133</v>
      </c>
      <c r="D9" s="4" t="n">
        <v>6</v>
      </c>
      <c r="E9" s="4" t="s">
        <v>76</v>
      </c>
      <c r="F9" s="4" t="n">
        <v>4</v>
      </c>
      <c r="G9" s="4" t="s">
        <v>49</v>
      </c>
      <c r="H9" s="4" t="n">
        <v>1</v>
      </c>
      <c r="I9" s="4"/>
      <c r="J9" s="4"/>
      <c r="K9" s="4"/>
      <c r="L9" s="4"/>
      <c r="M9" s="4" t="n">
        <v>3</v>
      </c>
      <c r="N9" s="9" t="n">
        <f aca="false">F9*3+H9*10</f>
        <v>22</v>
      </c>
      <c r="O9" s="9" t="n">
        <f aca="false">D9*25</f>
        <v>150</v>
      </c>
      <c r="P9" s="9" t="n">
        <f aca="false">O9-N9</f>
        <v>128</v>
      </c>
      <c r="Q9" s="9" t="n">
        <f aca="false">IF(M9&gt;0,P9/M9,0)</f>
        <v>42.6666666666667</v>
      </c>
      <c r="R9" s="10" t="n">
        <v>4</v>
      </c>
      <c r="S9" s="10" t="n">
        <f aca="false">FLOOR(1000/R9,1)</f>
        <v>250</v>
      </c>
      <c r="T9" s="10" t="n">
        <f aca="false">IF(D9&gt;0, (P9/D9)*S9, 0)</f>
        <v>5333.33333333333</v>
      </c>
      <c r="U9" s="10" t="n">
        <f aca="false">IF(M9&gt;0, T9/M9, 0)</f>
        <v>1777.77777777778</v>
      </c>
    </row>
    <row r="10" customFormat="false" ht="15" hidden="false" customHeight="true" outlineLevel="0" collapsed="false">
      <c r="A10" s="4" t="s">
        <v>136</v>
      </c>
      <c r="B10" s="4" t="s">
        <v>110</v>
      </c>
      <c r="C10" s="4" t="s">
        <v>136</v>
      </c>
      <c r="D10" s="4" t="n">
        <v>4</v>
      </c>
      <c r="E10" s="4" t="s">
        <v>70</v>
      </c>
      <c r="F10" s="4" t="n">
        <v>2</v>
      </c>
      <c r="G10" s="4" t="s">
        <v>42</v>
      </c>
      <c r="H10" s="4" t="n">
        <v>1</v>
      </c>
      <c r="I10" s="4"/>
      <c r="J10" s="4"/>
      <c r="K10" s="4"/>
      <c r="L10" s="4"/>
      <c r="M10" s="4" t="n">
        <v>3</v>
      </c>
      <c r="N10" s="9" t="n">
        <f aca="false">F10*10+H10*1</f>
        <v>21</v>
      </c>
      <c r="O10" s="9" t="n">
        <f aca="false">D10*65</f>
        <v>260</v>
      </c>
      <c r="P10" s="9" t="n">
        <f aca="false">O10-N10</f>
        <v>239</v>
      </c>
      <c r="Q10" s="9" t="n">
        <f aca="false">IF(M10&gt;0,P10/M10,0)</f>
        <v>79.6666666666667</v>
      </c>
      <c r="R10" s="10" t="n">
        <v>10</v>
      </c>
      <c r="S10" s="10" t="n">
        <f aca="false">FLOOR(1000/R10,1)</f>
        <v>100</v>
      </c>
      <c r="T10" s="10" t="n">
        <f aca="false">IF(D10&gt;0, (P10/D10)*S10, 0)</f>
        <v>5975</v>
      </c>
      <c r="U10" s="10" t="n">
        <f aca="false">IF(M10&gt;0, T10/M10, 0)</f>
        <v>1991.66666666667</v>
      </c>
    </row>
    <row r="11" customFormat="false" ht="15" hidden="false" customHeight="true" outlineLevel="0" collapsed="false">
      <c r="A11" s="4" t="s">
        <v>139</v>
      </c>
      <c r="B11" s="4" t="s">
        <v>110</v>
      </c>
      <c r="C11" s="4" t="s">
        <v>139</v>
      </c>
      <c r="D11" s="4" t="n">
        <v>10</v>
      </c>
      <c r="E11" s="4" t="s">
        <v>97</v>
      </c>
      <c r="F11" s="4" t="n">
        <v>2</v>
      </c>
      <c r="G11" s="4" t="s">
        <v>42</v>
      </c>
      <c r="H11" s="4" t="n">
        <v>1</v>
      </c>
      <c r="I11" s="4"/>
      <c r="J11" s="4"/>
      <c r="K11" s="4"/>
      <c r="L11" s="4"/>
      <c r="M11" s="4" t="n">
        <v>1</v>
      </c>
      <c r="N11" s="9" t="n">
        <f aca="false">F11*8+H11*1</f>
        <v>17</v>
      </c>
      <c r="O11" s="9" t="n">
        <f aca="false">D11*22</f>
        <v>220</v>
      </c>
      <c r="P11" s="9" t="n">
        <f aca="false">O11-N11</f>
        <v>203</v>
      </c>
      <c r="Q11" s="9" t="n">
        <f aca="false">IF(M11&gt;0,P11/M11,0)</f>
        <v>203</v>
      </c>
      <c r="R11" s="10" t="n">
        <v>2</v>
      </c>
      <c r="S11" s="10" t="n">
        <f aca="false">FLOOR(1000/R11,1)</f>
        <v>500</v>
      </c>
      <c r="T11" s="10" t="n">
        <f aca="false">IF(D11&gt;0, (P11/D11)*S11, 0)</f>
        <v>10150</v>
      </c>
      <c r="U11" s="10" t="n">
        <f aca="false">IF(M11&gt;0, T11/M11, 0)</f>
        <v>10150</v>
      </c>
    </row>
    <row r="12" customFormat="false" ht="15" hidden="false" customHeight="true" outlineLevel="0" collapsed="false">
      <c r="A12" s="4" t="s">
        <v>142</v>
      </c>
      <c r="B12" s="4" t="s">
        <v>110</v>
      </c>
      <c r="C12" s="4" t="s">
        <v>142</v>
      </c>
      <c r="D12" s="4" t="n">
        <v>8</v>
      </c>
      <c r="E12" s="4" t="s">
        <v>104</v>
      </c>
      <c r="F12" s="4" t="n">
        <v>3</v>
      </c>
      <c r="G12" s="4" t="s">
        <v>86</v>
      </c>
      <c r="H12" s="4" t="n">
        <v>1</v>
      </c>
      <c r="I12" s="4"/>
      <c r="J12" s="4"/>
      <c r="K12" s="4"/>
      <c r="L12" s="4"/>
      <c r="M12" s="4" t="n">
        <v>2</v>
      </c>
      <c r="N12" s="9" t="n">
        <f aca="false">F12*12+H12*15</f>
        <v>51</v>
      </c>
      <c r="O12" s="9" t="n">
        <f aca="false">D12*32</f>
        <v>256</v>
      </c>
      <c r="P12" s="9" t="n">
        <f aca="false">O12-N12</f>
        <v>205</v>
      </c>
      <c r="Q12" s="9" t="n">
        <f aca="false">IF(M12&gt;0,P12/M12,0)</f>
        <v>102.5</v>
      </c>
      <c r="R12" s="10" t="n">
        <v>2</v>
      </c>
      <c r="S12" s="10" t="n">
        <f aca="false">FLOOR(1000/R12,1)</f>
        <v>500</v>
      </c>
      <c r="T12" s="10" t="n">
        <f aca="false">IF(D12&gt;0, (P12/D12)*S12, 0)</f>
        <v>12812.5</v>
      </c>
      <c r="U12" s="10" t="n">
        <f aca="false">IF(M12&gt;0, T12/M12, 0)</f>
        <v>6406.25</v>
      </c>
    </row>
    <row r="13" customFormat="false" ht="15" hidden="false" customHeight="true" outlineLevel="0" collapsed="false">
      <c r="A13" s="4" t="s">
        <v>145</v>
      </c>
      <c r="B13" s="4" t="s">
        <v>110</v>
      </c>
      <c r="C13" s="4" t="s">
        <v>145</v>
      </c>
      <c r="D13" s="4" t="n">
        <v>8</v>
      </c>
      <c r="E13" s="4" t="s">
        <v>68</v>
      </c>
      <c r="F13" s="4" t="n">
        <v>3</v>
      </c>
      <c r="G13" s="4" t="s">
        <v>42</v>
      </c>
      <c r="H13" s="4" t="n">
        <v>1</v>
      </c>
      <c r="I13" s="4"/>
      <c r="J13" s="4"/>
      <c r="K13" s="4"/>
      <c r="L13" s="4"/>
      <c r="M13" s="4" t="n">
        <v>2</v>
      </c>
      <c r="N13" s="9" t="n">
        <f aca="false">F13*5+H13*1</f>
        <v>16</v>
      </c>
      <c r="O13" s="9" t="n">
        <f aca="false">D13*18</f>
        <v>144</v>
      </c>
      <c r="P13" s="9" t="n">
        <f aca="false">O13-N13</f>
        <v>128</v>
      </c>
      <c r="Q13" s="9" t="n">
        <f aca="false">IF(M13&gt;0,P13/M13,0)</f>
        <v>64</v>
      </c>
      <c r="R13" s="10" t="n">
        <v>8</v>
      </c>
      <c r="S13" s="10" t="n">
        <f aca="false">FLOOR(1000/R13,1)</f>
        <v>125</v>
      </c>
      <c r="T13" s="10" t="n">
        <f aca="false">IF(D13&gt;0, (P13/D13)*S13, 0)</f>
        <v>2000</v>
      </c>
      <c r="U13" s="10" t="n">
        <f aca="false">IF(M13&gt;0, T13/M13, 0)</f>
        <v>1000</v>
      </c>
    </row>
    <row r="14" customFormat="false" ht="15" hidden="false" customHeight="true" outlineLevel="0" collapsed="false">
      <c r="A14" s="4" t="s">
        <v>147</v>
      </c>
      <c r="B14" s="4" t="s">
        <v>110</v>
      </c>
      <c r="C14" s="4" t="s">
        <v>147</v>
      </c>
      <c r="D14" s="4" t="n">
        <v>12</v>
      </c>
      <c r="E14" s="4" t="s">
        <v>101</v>
      </c>
      <c r="F14" s="4" t="n">
        <v>4</v>
      </c>
      <c r="G14" s="4" t="s">
        <v>42</v>
      </c>
      <c r="H14" s="4" t="n">
        <v>1</v>
      </c>
      <c r="I14" s="4"/>
      <c r="J14" s="4"/>
      <c r="K14" s="4"/>
      <c r="L14" s="4"/>
      <c r="M14" s="4" t="n">
        <v>1.5</v>
      </c>
      <c r="N14" s="9" t="n">
        <f aca="false">F14*8+H14*1</f>
        <v>33</v>
      </c>
      <c r="O14" s="9" t="n">
        <f aca="false">D14*24</f>
        <v>288</v>
      </c>
      <c r="P14" s="9" t="n">
        <f aca="false">O14-N14</f>
        <v>255</v>
      </c>
      <c r="Q14" s="9" t="n">
        <f aca="false">IF(M14&gt;0,P14/M14,0)</f>
        <v>170</v>
      </c>
      <c r="R14" s="10" t="n">
        <v>1.5</v>
      </c>
      <c r="S14" s="10" t="n">
        <f aca="false">FLOOR(1000/R14,1)</f>
        <v>666</v>
      </c>
      <c r="T14" s="10" t="n">
        <f aca="false">IF(D14&gt;0, (P14/D14)*S14, 0)</f>
        <v>14152.5</v>
      </c>
      <c r="U14" s="10" t="n">
        <f aca="false">IF(M14&gt;0, T14/M14, 0)</f>
        <v>9435</v>
      </c>
    </row>
    <row r="15" customFormat="false" ht="15" hidden="false" customHeight="true" outlineLevel="0" collapsed="false">
      <c r="A15" s="4" t="s">
        <v>150</v>
      </c>
      <c r="B15" s="4" t="s">
        <v>110</v>
      </c>
      <c r="C15" s="4" t="s">
        <v>150</v>
      </c>
      <c r="D15" s="4" t="n">
        <v>20</v>
      </c>
      <c r="E15" s="4" t="s">
        <v>9</v>
      </c>
      <c r="F15" s="4" t="n">
        <v>2</v>
      </c>
      <c r="G15" s="4" t="s">
        <v>42</v>
      </c>
      <c r="H15" s="4" t="n">
        <v>1</v>
      </c>
      <c r="I15" s="4"/>
      <c r="J15" s="4"/>
      <c r="K15" s="4"/>
      <c r="L15" s="4"/>
      <c r="M15" s="4" t="n">
        <v>1.5</v>
      </c>
      <c r="N15" s="9" t="n">
        <f aca="false">F15*8+H15*1</f>
        <v>17</v>
      </c>
      <c r="O15" s="9" t="n">
        <f aca="false">D15*15</f>
        <v>300</v>
      </c>
      <c r="P15" s="9" t="n">
        <f aca="false">O15-N15</f>
        <v>283</v>
      </c>
      <c r="Q15" s="9" t="n">
        <f aca="false">IF(M15&gt;0,P15/M15,0)</f>
        <v>188.666666666667</v>
      </c>
      <c r="R15" s="10" t="n">
        <v>0.5</v>
      </c>
      <c r="S15" s="10" t="n">
        <f aca="false">FLOOR(1000/R15,1)</f>
        <v>2000</v>
      </c>
      <c r="T15" s="10" t="n">
        <f aca="false">IF(D15&gt;0, (P15/D15)*S15, 0)</f>
        <v>28300</v>
      </c>
      <c r="U15" s="10" t="n">
        <f aca="false">IF(M15&gt;0, T15/M15, 0)</f>
        <v>18866.6666666667</v>
      </c>
    </row>
    <row r="16" customFormat="false" ht="15" hidden="false" customHeight="true" outlineLevel="0" collapsed="false">
      <c r="A16" s="4" t="s">
        <v>153</v>
      </c>
      <c r="B16" s="4" t="s">
        <v>110</v>
      </c>
      <c r="C16" s="4" t="s">
        <v>153</v>
      </c>
      <c r="D16" s="4" t="n">
        <v>5</v>
      </c>
      <c r="E16" s="4" t="s">
        <v>18</v>
      </c>
      <c r="F16" s="4" t="n">
        <v>4</v>
      </c>
      <c r="G16" s="4" t="s">
        <v>80</v>
      </c>
      <c r="H16" s="4" t="n">
        <v>1</v>
      </c>
      <c r="I16" s="4"/>
      <c r="J16" s="4"/>
      <c r="K16" s="4"/>
      <c r="L16" s="4"/>
      <c r="M16" s="4" t="n">
        <v>2</v>
      </c>
      <c r="N16" s="9" t="n">
        <f aca="false">F16*4+H16*5</f>
        <v>21</v>
      </c>
      <c r="O16" s="9" t="n">
        <f aca="false">D16*28</f>
        <v>140</v>
      </c>
      <c r="P16" s="9" t="n">
        <f aca="false">O16-N16</f>
        <v>119</v>
      </c>
      <c r="Q16" s="9" t="n">
        <f aca="false">IF(M16&gt;0,P16/M16,0)</f>
        <v>59.5</v>
      </c>
      <c r="R16" s="10" t="n">
        <v>0.5</v>
      </c>
      <c r="S16" s="10" t="n">
        <f aca="false">FLOOR(1000/R16,1)</f>
        <v>2000</v>
      </c>
      <c r="T16" s="10" t="n">
        <f aca="false">IF(D16&gt;0, (P16/D16)*S16, 0)</f>
        <v>47600</v>
      </c>
      <c r="U16" s="10" t="n">
        <f aca="false">IF(M16&gt;0, T16/M16, 0)</f>
        <v>23800</v>
      </c>
    </row>
    <row r="17" customFormat="false" ht="15" hidden="false" customHeight="true" outlineLevel="0" collapsed="false">
      <c r="A17" s="4" t="s">
        <v>156</v>
      </c>
      <c r="B17" s="4" t="s">
        <v>110</v>
      </c>
      <c r="C17" s="4" t="s">
        <v>156</v>
      </c>
      <c r="D17" s="4" t="n">
        <v>8</v>
      </c>
      <c r="E17" s="4" t="s">
        <v>36</v>
      </c>
      <c r="F17" s="4" t="n">
        <v>3</v>
      </c>
      <c r="G17" s="4" t="s">
        <v>38</v>
      </c>
      <c r="H17" s="4" t="n">
        <v>1</v>
      </c>
      <c r="I17" s="4"/>
      <c r="J17" s="4"/>
      <c r="K17" s="4"/>
      <c r="L17" s="4"/>
      <c r="M17" s="4" t="n">
        <v>2</v>
      </c>
      <c r="N17" s="9" t="n">
        <f aca="false">F17*15+H17*7</f>
        <v>52</v>
      </c>
      <c r="O17" s="9" t="n">
        <f aca="false">D17*35</f>
        <v>280</v>
      </c>
      <c r="P17" s="9" t="n">
        <f aca="false">O17-N17</f>
        <v>228</v>
      </c>
      <c r="Q17" s="9" t="n">
        <f aca="false">IF(M17&gt;0,P17/M17,0)</f>
        <v>114</v>
      </c>
      <c r="R17" s="10" t="n">
        <v>0.6</v>
      </c>
      <c r="S17" s="10" t="n">
        <f aca="false">FLOOR(1000/R17,1)</f>
        <v>1666</v>
      </c>
      <c r="T17" s="10" t="n">
        <f aca="false">IF(D17&gt;0, (P17/D17)*S17, 0)</f>
        <v>47481</v>
      </c>
      <c r="U17" s="10" t="n">
        <f aca="false">IF(M17&gt;0, T17/M17, 0)</f>
        <v>23740.5</v>
      </c>
    </row>
    <row r="18" customFormat="false" ht="15" hidden="false" customHeight="true" outlineLevel="0" collapsed="false">
      <c r="A18" s="4" t="s">
        <v>159</v>
      </c>
      <c r="B18" s="4" t="s">
        <v>110</v>
      </c>
      <c r="C18" s="4" t="s">
        <v>159</v>
      </c>
      <c r="D18" s="4" t="n">
        <v>10</v>
      </c>
      <c r="E18" s="4" t="s">
        <v>20</v>
      </c>
      <c r="F18" s="4" t="n">
        <v>2</v>
      </c>
      <c r="G18" s="4" t="s">
        <v>80</v>
      </c>
      <c r="H18" s="4" t="n">
        <v>1</v>
      </c>
      <c r="I18" s="4"/>
      <c r="J18" s="4"/>
      <c r="K18" s="4"/>
      <c r="L18" s="4"/>
      <c r="M18" s="4" t="n">
        <v>2</v>
      </c>
      <c r="N18" s="9" t="n">
        <f aca="false">F18*10+H18*5</f>
        <v>25</v>
      </c>
      <c r="O18" s="9" t="n">
        <f aca="false">D18*25</f>
        <v>250</v>
      </c>
      <c r="P18" s="9" t="n">
        <f aca="false">O18-N18</f>
        <v>225</v>
      </c>
      <c r="Q18" s="9" t="n">
        <f aca="false">IF(M18&gt;0,P18/M18,0)</f>
        <v>112.5</v>
      </c>
      <c r="R18" s="10" t="n">
        <v>1.5</v>
      </c>
      <c r="S18" s="10" t="n">
        <f aca="false">FLOOR(1000/R18,1)</f>
        <v>666</v>
      </c>
      <c r="T18" s="10" t="n">
        <f aca="false">IF(D18&gt;0, (P18/D18)*S18, 0)</f>
        <v>14985</v>
      </c>
      <c r="U18" s="10" t="n">
        <f aca="false">IF(M18&gt;0, T18/M18, 0)</f>
        <v>7492.5</v>
      </c>
    </row>
    <row r="19" customFormat="false" ht="15" hidden="false" customHeight="true" outlineLevel="0" collapsed="false">
      <c r="A19" s="4" t="s">
        <v>162</v>
      </c>
      <c r="B19" s="4" t="s">
        <v>110</v>
      </c>
      <c r="C19" s="4" t="s">
        <v>162</v>
      </c>
      <c r="D19" s="4" t="n">
        <v>25</v>
      </c>
      <c r="E19" s="4" t="s">
        <v>9</v>
      </c>
      <c r="F19" s="4" t="n">
        <v>3</v>
      </c>
      <c r="G19" s="4" t="s">
        <v>42</v>
      </c>
      <c r="H19" s="4" t="n">
        <v>1</v>
      </c>
      <c r="I19" s="4"/>
      <c r="J19" s="4"/>
      <c r="K19" s="4"/>
      <c r="L19" s="4"/>
      <c r="M19" s="4" t="n">
        <v>1</v>
      </c>
      <c r="N19" s="9" t="n">
        <f aca="false">F19*8+H19*1</f>
        <v>25</v>
      </c>
      <c r="O19" s="9" t="n">
        <f aca="false">D19*12</f>
        <v>300</v>
      </c>
      <c r="P19" s="9" t="n">
        <f aca="false">O19-N19</f>
        <v>275</v>
      </c>
      <c r="Q19" s="9" t="n">
        <f aca="false">IF(M19&gt;0,P19/M19,0)</f>
        <v>275</v>
      </c>
      <c r="R19" s="10" t="n">
        <v>1</v>
      </c>
      <c r="S19" s="10" t="n">
        <f aca="false">FLOOR(1000/R19,1)</f>
        <v>1000</v>
      </c>
      <c r="T19" s="10" t="n">
        <f aca="false">IF(D19&gt;0, (P19/D19)*S19, 0)</f>
        <v>11000</v>
      </c>
      <c r="U19" s="10" t="n">
        <f aca="false">IF(M19&gt;0, T19/M19, 0)</f>
        <v>11000</v>
      </c>
    </row>
    <row r="20" customFormat="false" ht="15" hidden="false" customHeight="true" outlineLevel="0" collapsed="false">
      <c r="A20" s="4" t="s">
        <v>164</v>
      </c>
      <c r="B20" s="4" t="s">
        <v>110</v>
      </c>
      <c r="C20" s="4" t="s">
        <v>164</v>
      </c>
      <c r="D20" s="4" t="n">
        <v>12</v>
      </c>
      <c r="E20" s="4" t="s">
        <v>22</v>
      </c>
      <c r="F20" s="4" t="n">
        <v>3</v>
      </c>
      <c r="G20" s="4" t="s">
        <v>38</v>
      </c>
      <c r="H20" s="4" t="n">
        <v>1</v>
      </c>
      <c r="I20" s="4"/>
      <c r="J20" s="4"/>
      <c r="K20" s="4"/>
      <c r="L20" s="4"/>
      <c r="M20" s="4" t="n">
        <v>3</v>
      </c>
      <c r="N20" s="9" t="n">
        <f aca="false">F20*6+H20*7</f>
        <v>25</v>
      </c>
      <c r="O20" s="9" t="n">
        <f aca="false">D20*22</f>
        <v>264</v>
      </c>
      <c r="P20" s="9" t="n">
        <f aca="false">O20-N20</f>
        <v>239</v>
      </c>
      <c r="Q20" s="9" t="n">
        <f aca="false">IF(M20&gt;0,P20/M20,0)</f>
        <v>79.6666666666667</v>
      </c>
      <c r="R20" s="10" t="n">
        <v>0.8</v>
      </c>
      <c r="S20" s="10" t="n">
        <f aca="false">FLOOR(1000/R20,1)</f>
        <v>1250</v>
      </c>
      <c r="T20" s="10" t="n">
        <f aca="false">IF(D20&gt;0, (P20/D20)*S20, 0)</f>
        <v>24895.8333333333</v>
      </c>
      <c r="U20" s="10" t="n">
        <f aca="false">IF(M20&gt;0, T20/M20, 0)</f>
        <v>8298.61111111111</v>
      </c>
    </row>
    <row r="21" customFormat="false" ht="15" hidden="false" customHeight="true" outlineLevel="0" collapsed="false">
      <c r="A21" s="4" t="s">
        <v>167</v>
      </c>
      <c r="B21" s="4" t="s">
        <v>110</v>
      </c>
      <c r="C21" s="4" t="s">
        <v>167</v>
      </c>
      <c r="D21" s="4" t="n">
        <v>8</v>
      </c>
      <c r="E21" s="4" t="s">
        <v>15</v>
      </c>
      <c r="F21" s="4" t="n">
        <v>2</v>
      </c>
      <c r="G21" s="4" t="s">
        <v>80</v>
      </c>
      <c r="H21" s="4" t="n">
        <v>1</v>
      </c>
      <c r="I21" s="4"/>
      <c r="J21" s="4"/>
      <c r="K21" s="4"/>
      <c r="L21" s="4"/>
      <c r="M21" s="4" t="n">
        <v>3</v>
      </c>
      <c r="N21" s="9" t="n">
        <f aca="false">F21*12+H21*5</f>
        <v>29</v>
      </c>
      <c r="O21" s="9" t="n">
        <f aca="false">D21*30</f>
        <v>240</v>
      </c>
      <c r="P21" s="9" t="n">
        <f aca="false">O21-N21</f>
        <v>211</v>
      </c>
      <c r="Q21" s="9" t="n">
        <f aca="false">IF(M21&gt;0,P21/M21,0)</f>
        <v>70.3333333333333</v>
      </c>
      <c r="R21" s="10" t="n">
        <v>2</v>
      </c>
      <c r="S21" s="10" t="n">
        <f aca="false">FLOOR(1000/R21,1)</f>
        <v>500</v>
      </c>
      <c r="T21" s="10" t="n">
        <f aca="false">IF(D21&gt;0, (P21/D21)*S21, 0)</f>
        <v>13187.5</v>
      </c>
      <c r="U21" s="10" t="n">
        <f aca="false">IF(M21&gt;0, T21/M21, 0)</f>
        <v>4395.83333333333</v>
      </c>
    </row>
    <row r="22" customFormat="false" ht="15" hidden="false" customHeight="true" outlineLevel="0" collapsed="false">
      <c r="A22" s="4" t="s">
        <v>170</v>
      </c>
      <c r="B22" s="4" t="s">
        <v>110</v>
      </c>
      <c r="C22" s="4" t="s">
        <v>170</v>
      </c>
      <c r="D22" s="4" t="n">
        <v>10</v>
      </c>
      <c r="E22" s="4" t="s">
        <v>38</v>
      </c>
      <c r="F22" s="4" t="n">
        <v>2</v>
      </c>
      <c r="G22" s="4" t="s">
        <v>42</v>
      </c>
      <c r="H22" s="4" t="n">
        <v>1</v>
      </c>
      <c r="I22" s="4"/>
      <c r="J22" s="4"/>
      <c r="K22" s="4"/>
      <c r="L22" s="4"/>
      <c r="M22" s="4" t="n">
        <v>1</v>
      </c>
      <c r="N22" s="9" t="n">
        <f aca="false">F22*7+H22*1</f>
        <v>15</v>
      </c>
      <c r="O22" s="9" t="n">
        <f aca="false">D22*18</f>
        <v>180</v>
      </c>
      <c r="P22" s="9" t="n">
        <f aca="false">O22-N22</f>
        <v>165</v>
      </c>
      <c r="Q22" s="9" t="n">
        <f aca="false">IF(M22&gt;0,P22/M22,0)</f>
        <v>165</v>
      </c>
      <c r="R22" s="10" t="n">
        <v>0.8</v>
      </c>
      <c r="S22" s="10" t="n">
        <f aca="false">FLOOR(1000/R22,1)</f>
        <v>1250</v>
      </c>
      <c r="T22" s="10" t="n">
        <f aca="false">IF(D22&gt;0, (P22/D22)*S22, 0)</f>
        <v>20625</v>
      </c>
      <c r="U22" s="10" t="n">
        <f aca="false">IF(M22&gt;0, T22/M22, 0)</f>
        <v>20625</v>
      </c>
    </row>
    <row r="23" customFormat="false" ht="15" hidden="false" customHeight="true" outlineLevel="0" collapsed="false">
      <c r="A23" s="4" t="s">
        <v>172</v>
      </c>
      <c r="B23" s="4" t="s">
        <v>110</v>
      </c>
      <c r="C23" s="4" t="s">
        <v>172</v>
      </c>
      <c r="D23" s="4" t="n">
        <v>3</v>
      </c>
      <c r="E23" s="4" t="s">
        <v>40</v>
      </c>
      <c r="F23" s="4" t="n">
        <v>2</v>
      </c>
      <c r="G23" s="4" t="s">
        <v>42</v>
      </c>
      <c r="H23" s="4" t="n">
        <v>1</v>
      </c>
      <c r="I23" s="4"/>
      <c r="J23" s="4"/>
      <c r="K23" s="4"/>
      <c r="L23" s="4"/>
      <c r="M23" s="4" t="n">
        <v>4</v>
      </c>
      <c r="N23" s="9" t="n">
        <f aca="false">F23*50+H23*1</f>
        <v>101</v>
      </c>
      <c r="O23" s="9" t="n">
        <f aca="false">D23*120</f>
        <v>360</v>
      </c>
      <c r="P23" s="9" t="n">
        <f aca="false">O23-N23</f>
        <v>259</v>
      </c>
      <c r="Q23" s="9" t="n">
        <f aca="false">IF(M23&gt;0,P23/M23,0)</f>
        <v>64.75</v>
      </c>
      <c r="R23" s="10" t="n">
        <v>0.3</v>
      </c>
      <c r="S23" s="10" t="n">
        <f aca="false">FLOOR(1000/R23,1)</f>
        <v>3333</v>
      </c>
      <c r="T23" s="10" t="n">
        <f aca="false">IF(D23&gt;0, (P23/D23)*S23, 0)</f>
        <v>287749</v>
      </c>
      <c r="U23" s="10" t="n">
        <f aca="false">IF(M23&gt;0, T23/M23, 0)</f>
        <v>71937.25</v>
      </c>
    </row>
    <row r="24" customFormat="false" ht="15" hidden="false" customHeight="true" outlineLevel="0" collapsed="false">
      <c r="A24" s="4" t="s">
        <v>175</v>
      </c>
      <c r="B24" s="4" t="s">
        <v>110</v>
      </c>
      <c r="C24" s="4" t="s">
        <v>175</v>
      </c>
      <c r="D24" s="4" t="n">
        <v>15</v>
      </c>
      <c r="E24" s="4" t="s">
        <v>25</v>
      </c>
      <c r="F24" s="4" t="n">
        <v>3</v>
      </c>
      <c r="G24" s="4" t="s">
        <v>42</v>
      </c>
      <c r="H24" s="4" t="n">
        <v>2</v>
      </c>
      <c r="I24" s="4"/>
      <c r="J24" s="4"/>
      <c r="K24" s="4"/>
      <c r="L24" s="4"/>
      <c r="M24" s="4" t="n">
        <v>2</v>
      </c>
      <c r="N24" s="9" t="n">
        <f aca="false">F24*5+H24*1</f>
        <v>17</v>
      </c>
      <c r="O24" s="9" t="n">
        <f aca="false">D24*20</f>
        <v>300</v>
      </c>
      <c r="P24" s="9" t="n">
        <f aca="false">O24-N24</f>
        <v>283</v>
      </c>
      <c r="Q24" s="9" t="n">
        <f aca="false">IF(M24&gt;0,P24/M24,0)</f>
        <v>141.5</v>
      </c>
      <c r="R24" s="10" t="n">
        <v>1</v>
      </c>
      <c r="S24" s="10" t="n">
        <f aca="false">FLOOR(1000/R24,1)</f>
        <v>1000</v>
      </c>
      <c r="T24" s="10" t="n">
        <f aca="false">IF(D24&gt;0, (P24/D24)*S24, 0)</f>
        <v>18866.6666666667</v>
      </c>
      <c r="U24" s="10" t="n">
        <f aca="false">IF(M24&gt;0, T24/M24, 0)</f>
        <v>9433.33333333333</v>
      </c>
    </row>
    <row r="25" customFormat="false" ht="15" hidden="false" customHeight="true" outlineLevel="0" collapsed="false">
      <c r="A25" s="4" t="s">
        <v>178</v>
      </c>
      <c r="B25" s="4" t="s">
        <v>110</v>
      </c>
      <c r="C25" s="4" t="s">
        <v>178</v>
      </c>
      <c r="D25" s="4" t="n">
        <v>7</v>
      </c>
      <c r="E25" s="4" t="s">
        <v>94</v>
      </c>
      <c r="F25" s="4" t="n">
        <v>4</v>
      </c>
      <c r="G25" s="4" t="s">
        <v>42</v>
      </c>
      <c r="H25" s="4" t="n">
        <v>1</v>
      </c>
      <c r="I25" s="4"/>
      <c r="J25" s="4"/>
      <c r="K25" s="4"/>
      <c r="L25" s="4"/>
      <c r="M25" s="4" t="n">
        <v>6</v>
      </c>
      <c r="N25" s="9" t="n">
        <f aca="false">F25*5+H25*1</f>
        <v>21</v>
      </c>
      <c r="O25" s="9" t="n">
        <f aca="false">D25*48</f>
        <v>336</v>
      </c>
      <c r="P25" s="9" t="n">
        <f aca="false">O25-N25</f>
        <v>315</v>
      </c>
      <c r="Q25" s="9" t="n">
        <f aca="false">IF(M25&gt;0,P25/M25,0)</f>
        <v>52.5</v>
      </c>
      <c r="R25" s="10" t="n">
        <v>3.5</v>
      </c>
      <c r="S25" s="10" t="n">
        <f aca="false">FLOOR(1000/R25,1)</f>
        <v>285</v>
      </c>
      <c r="T25" s="10" t="n">
        <f aca="false">IF(D25&gt;0, (P25/D25)*S25, 0)</f>
        <v>12825</v>
      </c>
      <c r="U25" s="10" t="n">
        <f aca="false">IF(M25&gt;0, T25/M25, 0)</f>
        <v>2137.5</v>
      </c>
    </row>
    <row r="26" customFormat="false" ht="15" hidden="false" customHeight="true" outlineLevel="0" collapsed="false">
      <c r="A26" s="4" t="s">
        <v>182</v>
      </c>
      <c r="B26" s="4" t="s">
        <v>110</v>
      </c>
      <c r="C26" s="4" t="s">
        <v>182</v>
      </c>
      <c r="D26" s="4" t="n">
        <v>6</v>
      </c>
      <c r="E26" s="4" t="s">
        <v>49</v>
      </c>
      <c r="F26" s="4" t="n">
        <v>2</v>
      </c>
      <c r="G26" s="4" t="s">
        <v>97</v>
      </c>
      <c r="H26" s="4" t="n">
        <v>1</v>
      </c>
      <c r="I26" s="4"/>
      <c r="J26" s="4"/>
      <c r="K26" s="4"/>
      <c r="L26" s="4"/>
      <c r="M26" s="4" t="n">
        <v>4</v>
      </c>
      <c r="N26" s="9" t="n">
        <f aca="false">F26*10+H26*8</f>
        <v>28</v>
      </c>
      <c r="O26" s="9" t="n">
        <f aca="false">D26*28</f>
        <v>168</v>
      </c>
      <c r="P26" s="9" t="n">
        <f aca="false">O26-N26</f>
        <v>140</v>
      </c>
      <c r="Q26" s="9" t="n">
        <f aca="false">IF(M26&gt;0,P26/M26,0)</f>
        <v>35</v>
      </c>
      <c r="R26" s="10" t="n">
        <v>2.5</v>
      </c>
      <c r="S26" s="10" t="n">
        <f aca="false">FLOOR(1000/R26,1)</f>
        <v>400</v>
      </c>
      <c r="T26" s="10" t="n">
        <f aca="false">IF(D26&gt;0, (P26/D26)*S26, 0)</f>
        <v>9333.33333333333</v>
      </c>
      <c r="U26" s="10" t="n">
        <f aca="false">IF(M26&gt;0, T26/M26, 0)</f>
        <v>2333.33333333333</v>
      </c>
    </row>
    <row r="27" customFormat="false" ht="15" hidden="false" customHeight="true" outlineLevel="0" collapsed="false">
      <c r="A27" s="4" t="s">
        <v>185</v>
      </c>
      <c r="B27" s="4" t="s">
        <v>110</v>
      </c>
      <c r="C27" s="4" t="s">
        <v>185</v>
      </c>
      <c r="D27" s="4" t="n">
        <v>5</v>
      </c>
      <c r="E27" s="4" t="s">
        <v>92</v>
      </c>
      <c r="F27" s="4" t="n">
        <v>3</v>
      </c>
      <c r="G27" s="4" t="s">
        <v>49</v>
      </c>
      <c r="H27" s="4" t="n">
        <v>1</v>
      </c>
      <c r="I27" s="4"/>
      <c r="J27" s="4"/>
      <c r="K27" s="4"/>
      <c r="L27" s="4"/>
      <c r="M27" s="4" t="n">
        <v>2</v>
      </c>
      <c r="N27" s="9" t="n">
        <f aca="false">F27*20+H27*10</f>
        <v>70</v>
      </c>
      <c r="O27" s="9" t="n">
        <f aca="false">D27*55</f>
        <v>275</v>
      </c>
      <c r="P27" s="9" t="n">
        <f aca="false">O27-N27</f>
        <v>205</v>
      </c>
      <c r="Q27" s="9" t="n">
        <f aca="false">IF(M27&gt;0,P27/M27,0)</f>
        <v>102.5</v>
      </c>
      <c r="R27" s="10" t="n">
        <v>2</v>
      </c>
      <c r="S27" s="10" t="n">
        <f aca="false">FLOOR(1000/R27,1)</f>
        <v>500</v>
      </c>
      <c r="T27" s="10" t="n">
        <f aca="false">IF(D27&gt;0, (P27/D27)*S27, 0)</f>
        <v>20500</v>
      </c>
      <c r="U27" s="10" t="n">
        <f aca="false">IF(M27&gt;0, T27/M27, 0)</f>
        <v>10250</v>
      </c>
    </row>
    <row r="28" customFormat="false" ht="15" hidden="false" customHeight="true" outlineLevel="0" collapsed="false">
      <c r="A28" s="4" t="s">
        <v>188</v>
      </c>
      <c r="B28" s="4" t="s">
        <v>110</v>
      </c>
      <c r="C28" s="4" t="s">
        <v>188</v>
      </c>
      <c r="D28" s="4" t="n">
        <v>8</v>
      </c>
      <c r="E28" s="4" t="s">
        <v>88</v>
      </c>
      <c r="F28" s="4" t="n">
        <v>3</v>
      </c>
      <c r="G28" s="4" t="s">
        <v>49</v>
      </c>
      <c r="H28" s="4" t="n">
        <v>1</v>
      </c>
      <c r="I28" s="4"/>
      <c r="J28" s="4"/>
      <c r="K28" s="4"/>
      <c r="L28" s="4"/>
      <c r="M28" s="4" t="n">
        <v>3</v>
      </c>
      <c r="N28" s="9" t="n">
        <f aca="false">F28*25+H28*10</f>
        <v>85</v>
      </c>
      <c r="O28" s="9" t="n">
        <f aca="false">D28*60</f>
        <v>480</v>
      </c>
      <c r="P28" s="9" t="n">
        <f aca="false">O28-N28</f>
        <v>395</v>
      </c>
      <c r="Q28" s="9" t="n">
        <f aca="false">IF(M28&gt;0,P28/M28,0)</f>
        <v>131.666666666667</v>
      </c>
      <c r="R28" s="10" t="n">
        <v>4</v>
      </c>
      <c r="S28" s="10" t="n">
        <f aca="false">FLOOR(1000/R28,1)</f>
        <v>250</v>
      </c>
      <c r="T28" s="10" t="n">
        <f aca="false">IF(D28&gt;0, (P28/D28)*S28, 0)</f>
        <v>12343.75</v>
      </c>
      <c r="U28" s="10" t="n">
        <f aca="false">IF(M28&gt;0, T28/M28, 0)</f>
        <v>4114.58333333333</v>
      </c>
    </row>
    <row r="29" customFormat="false" ht="15" hidden="false" customHeight="true" outlineLevel="0" collapsed="false">
      <c r="A29" s="4" t="s">
        <v>191</v>
      </c>
      <c r="B29" s="4" t="s">
        <v>110</v>
      </c>
      <c r="C29" s="4" t="s">
        <v>191</v>
      </c>
      <c r="D29" s="4" t="n">
        <v>10</v>
      </c>
      <c r="E29" s="4" t="s">
        <v>83</v>
      </c>
      <c r="F29" s="4" t="n">
        <v>3</v>
      </c>
      <c r="G29" s="4" t="s">
        <v>42</v>
      </c>
      <c r="H29" s="4" t="n">
        <v>1</v>
      </c>
      <c r="I29" s="4"/>
      <c r="J29" s="4"/>
      <c r="K29" s="4"/>
      <c r="L29" s="4"/>
      <c r="M29" s="4" t="n">
        <v>2</v>
      </c>
      <c r="N29" s="9" t="n">
        <f aca="false">F29*10+H29*1</f>
        <v>31</v>
      </c>
      <c r="O29" s="9" t="n">
        <f aca="false">D29*28</f>
        <v>280</v>
      </c>
      <c r="P29" s="9" t="n">
        <f aca="false">O29-N29</f>
        <v>249</v>
      </c>
      <c r="Q29" s="9" t="n">
        <f aca="false">IF(M29&gt;0,P29/M29,0)</f>
        <v>124.5</v>
      </c>
      <c r="R29" s="10" t="n">
        <v>5</v>
      </c>
      <c r="S29" s="10" t="n">
        <f aca="false">FLOOR(1000/R29,1)</f>
        <v>200</v>
      </c>
      <c r="T29" s="10" t="n">
        <f aca="false">IF(D29&gt;0, (P29/D29)*S29, 0)</f>
        <v>4980</v>
      </c>
      <c r="U29" s="10" t="n">
        <f aca="false">IF(M29&gt;0, T29/M29, 0)</f>
        <v>2490</v>
      </c>
    </row>
    <row r="30" customFormat="false" ht="15" hidden="false" customHeight="true" outlineLevel="0" collapsed="false">
      <c r="A30" s="4" t="s">
        <v>194</v>
      </c>
      <c r="B30" s="4" t="s">
        <v>110</v>
      </c>
      <c r="C30" s="4" t="s">
        <v>194</v>
      </c>
      <c r="D30" s="4" t="n">
        <v>6</v>
      </c>
      <c r="E30" s="4" t="s">
        <v>86</v>
      </c>
      <c r="F30" s="4" t="n">
        <v>3</v>
      </c>
      <c r="G30" s="4" t="s">
        <v>42</v>
      </c>
      <c r="H30" s="4" t="n">
        <v>2</v>
      </c>
      <c r="I30" s="4"/>
      <c r="J30" s="4"/>
      <c r="K30" s="4"/>
      <c r="L30" s="4"/>
      <c r="M30" s="4" t="n">
        <v>3</v>
      </c>
      <c r="N30" s="9" t="n">
        <f aca="false">F30*15+H30*1</f>
        <v>47</v>
      </c>
      <c r="O30" s="9" t="n">
        <f aca="false">D30*40</f>
        <v>240</v>
      </c>
      <c r="P30" s="9" t="n">
        <f aca="false">O30-N30</f>
        <v>193</v>
      </c>
      <c r="Q30" s="9" t="n">
        <f aca="false">IF(M30&gt;0,P30/M30,0)</f>
        <v>64.3333333333333</v>
      </c>
      <c r="R30" s="10" t="n">
        <v>4</v>
      </c>
      <c r="S30" s="10" t="n">
        <f aca="false">FLOOR(1000/R30,1)</f>
        <v>250</v>
      </c>
      <c r="T30" s="10" t="n">
        <f aca="false">IF(D30&gt;0, (P30/D30)*S30, 0)</f>
        <v>8041.66666666667</v>
      </c>
      <c r="U30" s="10" t="n">
        <f aca="false">IF(M30&gt;0, T30/M30, 0)</f>
        <v>2680.55555555556</v>
      </c>
    </row>
    <row r="31" customFormat="false" ht="15" hidden="false" customHeight="true" outlineLevel="0" collapsed="false">
      <c r="A31" s="4" t="s">
        <v>197</v>
      </c>
      <c r="B31" s="4" t="s">
        <v>110</v>
      </c>
      <c r="C31" s="4" t="s">
        <v>197</v>
      </c>
      <c r="D31" s="4" t="n">
        <v>1</v>
      </c>
      <c r="E31" s="4" t="s">
        <v>65</v>
      </c>
      <c r="F31" s="4" t="n">
        <v>2</v>
      </c>
      <c r="G31" s="4" t="s">
        <v>42</v>
      </c>
      <c r="H31" s="4" t="n">
        <v>1</v>
      </c>
      <c r="I31" s="4"/>
      <c r="J31" s="4"/>
      <c r="K31" s="4"/>
      <c r="L31" s="4"/>
      <c r="M31" s="4" t="n">
        <v>12</v>
      </c>
      <c r="N31" s="9" t="n">
        <f aca="false">F31*100+H31*1</f>
        <v>201</v>
      </c>
      <c r="O31" s="9" t="n">
        <f aca="false">D31*300</f>
        <v>300</v>
      </c>
      <c r="P31" s="9" t="n">
        <f aca="false">O31-N31</f>
        <v>99</v>
      </c>
      <c r="Q31" s="9" t="n">
        <f aca="false">IF(M31&gt;0,P31/M31,0)</f>
        <v>8.25</v>
      </c>
      <c r="R31" s="10" t="n">
        <v>5</v>
      </c>
      <c r="S31" s="10" t="n">
        <f aca="false">FLOOR(1000/R31,1)</f>
        <v>200</v>
      </c>
      <c r="T31" s="10" t="n">
        <f aca="false">IF(D31&gt;0, (P31/D31)*S31, 0)</f>
        <v>19800</v>
      </c>
      <c r="U31" s="10" t="n">
        <f aca="false">IF(M31&gt;0, T31/M31, 0)</f>
        <v>1650</v>
      </c>
    </row>
    <row r="32" customFormat="false" ht="15" hidden="false" customHeight="true" outlineLevel="0" collapsed="false">
      <c r="A32" s="5" t="s">
        <v>200</v>
      </c>
      <c r="B32" s="5" t="s">
        <v>201</v>
      </c>
      <c r="C32" s="5" t="s">
        <v>200</v>
      </c>
      <c r="D32" s="5" t="n">
        <v>4</v>
      </c>
      <c r="E32" s="5" t="s">
        <v>109</v>
      </c>
      <c r="F32" s="5" t="n">
        <v>3</v>
      </c>
      <c r="G32" s="5"/>
      <c r="H32" s="5"/>
      <c r="I32" s="5"/>
      <c r="J32" s="5"/>
      <c r="K32" s="5"/>
      <c r="L32" s="5"/>
      <c r="M32" s="5" t="n">
        <v>5</v>
      </c>
      <c r="N32" s="11" t="n">
        <f aca="false">F32*55</f>
        <v>165</v>
      </c>
      <c r="O32" s="11" t="n">
        <f aca="false">D32*88</f>
        <v>352</v>
      </c>
      <c r="P32" s="11" t="n">
        <f aca="false">O32-N32</f>
        <v>187</v>
      </c>
      <c r="Q32" s="11" t="n">
        <f aca="false">IF(M32&gt;0,P32/M32,0)</f>
        <v>37.4</v>
      </c>
      <c r="R32" s="12" t="n">
        <v>5</v>
      </c>
      <c r="S32" s="12" t="n">
        <f aca="false">FLOOR(1000/R32,1)</f>
        <v>200</v>
      </c>
      <c r="T32" s="12" t="n">
        <f aca="false">IF(D32&gt;0, (P32/D32)*S32, 0)</f>
        <v>9350</v>
      </c>
      <c r="U32" s="12" t="n">
        <f aca="false">IF(M32&gt;0, T32/M32, 0)</f>
        <v>1870</v>
      </c>
    </row>
    <row r="33" customFormat="false" ht="15" hidden="false" customHeight="true" outlineLevel="0" collapsed="false">
      <c r="A33" s="5" t="s">
        <v>203</v>
      </c>
      <c r="B33" s="5" t="s">
        <v>201</v>
      </c>
      <c r="C33" s="5" t="s">
        <v>203</v>
      </c>
      <c r="D33" s="5" t="n">
        <v>8</v>
      </c>
      <c r="E33" s="5" t="s">
        <v>130</v>
      </c>
      <c r="F33" s="5" t="n">
        <v>2</v>
      </c>
      <c r="G33" s="5" t="s">
        <v>145</v>
      </c>
      <c r="H33" s="5" t="n">
        <v>2</v>
      </c>
      <c r="I33" s="5" t="s">
        <v>42</v>
      </c>
      <c r="J33" s="5" t="n">
        <v>1</v>
      </c>
      <c r="K33" s="5"/>
      <c r="L33" s="5"/>
      <c r="M33" s="5" t="n">
        <v>4</v>
      </c>
      <c r="N33" s="11" t="n">
        <f aca="false">F33*20+H33*18+J33*1</f>
        <v>77</v>
      </c>
      <c r="O33" s="11" t="n">
        <f aca="false">D33*45</f>
        <v>360</v>
      </c>
      <c r="P33" s="11" t="n">
        <f aca="false">O33-N33</f>
        <v>283</v>
      </c>
      <c r="Q33" s="11" t="n">
        <f aca="false">IF(M33&gt;0,P33/M33,0)</f>
        <v>70.75</v>
      </c>
      <c r="R33" s="12" t="n">
        <v>15</v>
      </c>
      <c r="S33" s="12" t="n">
        <f aca="false">FLOOR(1000/R33,1)</f>
        <v>66</v>
      </c>
      <c r="T33" s="12" t="n">
        <f aca="false">IF(D33&gt;0, (P33/D33)*S33, 0)</f>
        <v>2334.75</v>
      </c>
      <c r="U33" s="12" t="n">
        <f aca="false">IF(M33&gt;0, T33/M33, 0)</f>
        <v>583.6875</v>
      </c>
    </row>
    <row r="34" customFormat="false" ht="15" hidden="false" customHeight="true" outlineLevel="0" collapsed="false">
      <c r="A34" s="5" t="s">
        <v>205</v>
      </c>
      <c r="B34" s="5" t="s">
        <v>201</v>
      </c>
      <c r="C34" s="5" t="s">
        <v>205</v>
      </c>
      <c r="D34" s="5" t="n">
        <v>4</v>
      </c>
      <c r="E34" s="5" t="s">
        <v>117</v>
      </c>
      <c r="F34" s="5" t="n">
        <v>3</v>
      </c>
      <c r="G34" s="5" t="s">
        <v>109</v>
      </c>
      <c r="H34" s="5" t="n">
        <v>1</v>
      </c>
      <c r="I34" s="5"/>
      <c r="J34" s="5"/>
      <c r="K34" s="5"/>
      <c r="L34" s="5"/>
      <c r="M34" s="5" t="n">
        <v>6</v>
      </c>
      <c r="N34" s="11" t="n">
        <f aca="false">F34*45+H34*55</f>
        <v>190</v>
      </c>
      <c r="O34" s="11" t="n">
        <f aca="false">D34*95</f>
        <v>380</v>
      </c>
      <c r="P34" s="11" t="n">
        <f aca="false">O34-N34</f>
        <v>190</v>
      </c>
      <c r="Q34" s="11" t="n">
        <f aca="false">IF(M34&gt;0,P34/M34,0)</f>
        <v>31.6666666666667</v>
      </c>
      <c r="R34" s="12" t="n">
        <v>10</v>
      </c>
      <c r="S34" s="12" t="n">
        <f aca="false">FLOOR(1000/R34,1)</f>
        <v>100</v>
      </c>
      <c r="T34" s="12" t="n">
        <f aca="false">IF(D34&gt;0, (P34/D34)*S34, 0)</f>
        <v>4750</v>
      </c>
      <c r="U34" s="12" t="n">
        <f aca="false">IF(M34&gt;0, T34/M34, 0)</f>
        <v>791.666666666667</v>
      </c>
    </row>
    <row r="35" customFormat="false" ht="15" hidden="false" customHeight="true" outlineLevel="0" collapsed="false">
      <c r="A35" s="5" t="s">
        <v>208</v>
      </c>
      <c r="B35" s="5" t="s">
        <v>201</v>
      </c>
      <c r="C35" s="5" t="s">
        <v>208</v>
      </c>
      <c r="D35" s="5" t="n">
        <v>6</v>
      </c>
      <c r="E35" s="5" t="s">
        <v>117</v>
      </c>
      <c r="F35" s="5" t="n">
        <v>3</v>
      </c>
      <c r="G35" s="5"/>
      <c r="H35" s="5"/>
      <c r="I35" s="5"/>
      <c r="J35" s="5"/>
      <c r="K35" s="5"/>
      <c r="L35" s="5"/>
      <c r="M35" s="5" t="n">
        <v>4</v>
      </c>
      <c r="N35" s="11" t="n">
        <f aca="false">F35*45</f>
        <v>135</v>
      </c>
      <c r="O35" s="11" t="n">
        <f aca="false">D35*82</f>
        <v>492</v>
      </c>
      <c r="P35" s="11" t="n">
        <f aca="false">O35-N35</f>
        <v>357</v>
      </c>
      <c r="Q35" s="11" t="n">
        <f aca="false">IF(M35&gt;0,P35/M35,0)</f>
        <v>89.25</v>
      </c>
      <c r="R35" s="12" t="n">
        <v>9</v>
      </c>
      <c r="S35" s="12" t="n">
        <f aca="false">FLOOR(1000/R35,1)</f>
        <v>111</v>
      </c>
      <c r="T35" s="12" t="n">
        <f aca="false">IF(D35&gt;0, (P35/D35)*S35, 0)</f>
        <v>6604.5</v>
      </c>
      <c r="U35" s="12" t="n">
        <f aca="false">IF(M35&gt;0, T35/M35, 0)</f>
        <v>1651.125</v>
      </c>
    </row>
    <row r="36" customFormat="false" ht="15" hidden="false" customHeight="true" outlineLevel="0" collapsed="false">
      <c r="A36" s="5" t="s">
        <v>211</v>
      </c>
      <c r="B36" s="5" t="s">
        <v>201</v>
      </c>
      <c r="C36" s="5" t="s">
        <v>211</v>
      </c>
      <c r="D36" s="5" t="n">
        <v>2</v>
      </c>
      <c r="E36" s="5" t="s">
        <v>120</v>
      </c>
      <c r="F36" s="5" t="n">
        <v>2</v>
      </c>
      <c r="G36" s="5"/>
      <c r="H36" s="5"/>
      <c r="I36" s="5"/>
      <c r="J36" s="5"/>
      <c r="K36" s="5"/>
      <c r="L36" s="5"/>
      <c r="M36" s="5" t="n">
        <v>10</v>
      </c>
      <c r="N36" s="11" t="n">
        <f aca="false">F36*150</f>
        <v>300</v>
      </c>
      <c r="O36" s="11" t="n">
        <f aca="false">D36*320</f>
        <v>640</v>
      </c>
      <c r="P36" s="11" t="n">
        <f aca="false">O36-N36</f>
        <v>340</v>
      </c>
      <c r="Q36" s="11" t="n">
        <f aca="false">IF(M36&gt;0,P36/M36,0)</f>
        <v>34</v>
      </c>
      <c r="R36" s="12" t="n">
        <v>4</v>
      </c>
      <c r="S36" s="12" t="n">
        <f aca="false">FLOOR(1000/R36,1)</f>
        <v>250</v>
      </c>
      <c r="T36" s="12" t="n">
        <f aca="false">IF(D36&gt;0, (P36/D36)*S36, 0)</f>
        <v>42500</v>
      </c>
      <c r="U36" s="12" t="n">
        <f aca="false">IF(M36&gt;0, T36/M36, 0)</f>
        <v>4250</v>
      </c>
    </row>
    <row r="37" customFormat="false" ht="15" hidden="false" customHeight="true" outlineLevel="0" collapsed="false">
      <c r="A37" s="5" t="s">
        <v>214</v>
      </c>
      <c r="B37" s="5" t="s">
        <v>201</v>
      </c>
      <c r="C37" s="5" t="s">
        <v>214</v>
      </c>
      <c r="D37" s="5" t="n">
        <v>5</v>
      </c>
      <c r="E37" s="5" t="s">
        <v>133</v>
      </c>
      <c r="F37" s="5" t="n">
        <v>3</v>
      </c>
      <c r="G37" s="5" t="s">
        <v>109</v>
      </c>
      <c r="H37" s="5" t="n">
        <v>1</v>
      </c>
      <c r="I37" s="5"/>
      <c r="J37" s="5"/>
      <c r="K37" s="5"/>
      <c r="L37" s="5"/>
      <c r="M37" s="5" t="n">
        <v>3</v>
      </c>
      <c r="N37" s="11" t="n">
        <f aca="false">F37*25+H37*55</f>
        <v>130</v>
      </c>
      <c r="O37" s="11" t="n">
        <f aca="false">D37*72</f>
        <v>360</v>
      </c>
      <c r="P37" s="11" t="n">
        <f aca="false">O37-N37</f>
        <v>230</v>
      </c>
      <c r="Q37" s="11" t="n">
        <f aca="false">IF(M37&gt;0,P37/M37,0)</f>
        <v>76.6666666666667</v>
      </c>
      <c r="R37" s="12" t="n">
        <v>6</v>
      </c>
      <c r="S37" s="12" t="n">
        <f aca="false">FLOOR(1000/R37,1)</f>
        <v>166</v>
      </c>
      <c r="T37" s="12" t="n">
        <f aca="false">IF(D37&gt;0, (P37/D37)*S37, 0)</f>
        <v>7636</v>
      </c>
      <c r="U37" s="12" t="n">
        <f aca="false">IF(M37&gt;0, T37/M37, 0)</f>
        <v>2545.33333333333</v>
      </c>
    </row>
    <row r="38" customFormat="false" ht="15" hidden="false" customHeight="true" outlineLevel="0" collapsed="false">
      <c r="A38" s="5" t="s">
        <v>216</v>
      </c>
      <c r="B38" s="5" t="s">
        <v>201</v>
      </c>
      <c r="C38" s="5" t="s">
        <v>216</v>
      </c>
      <c r="D38" s="5" t="n">
        <v>12</v>
      </c>
      <c r="E38" s="5" t="s">
        <v>114</v>
      </c>
      <c r="F38" s="5" t="n">
        <v>2</v>
      </c>
      <c r="G38" s="5" t="s">
        <v>142</v>
      </c>
      <c r="H38" s="5" t="n">
        <v>1</v>
      </c>
      <c r="I38" s="5"/>
      <c r="J38" s="5"/>
      <c r="K38" s="5"/>
      <c r="L38" s="5"/>
      <c r="M38" s="5" t="n">
        <v>2</v>
      </c>
      <c r="N38" s="11" t="n">
        <f aca="false">F38*38+H38*32</f>
        <v>108</v>
      </c>
      <c r="O38" s="11" t="n">
        <f aca="false">D38*68</f>
        <v>816</v>
      </c>
      <c r="P38" s="11" t="n">
        <f aca="false">O38-N38</f>
        <v>708</v>
      </c>
      <c r="Q38" s="11" t="n">
        <f aca="false">IF(M38&gt;0,P38/M38,0)</f>
        <v>354</v>
      </c>
      <c r="R38" s="12" t="n">
        <v>3</v>
      </c>
      <c r="S38" s="12" t="n">
        <f aca="false">FLOOR(1000/R38,1)</f>
        <v>333</v>
      </c>
      <c r="T38" s="12" t="n">
        <f aca="false">IF(D38&gt;0, (P38/D38)*S38, 0)</f>
        <v>19647</v>
      </c>
      <c r="U38" s="12" t="n">
        <f aca="false">IF(M38&gt;0, T38/M38, 0)</f>
        <v>9823.5</v>
      </c>
    </row>
    <row r="39" customFormat="false" ht="15" hidden="false" customHeight="true" outlineLevel="0" collapsed="false">
      <c r="A39" s="5" t="s">
        <v>218</v>
      </c>
      <c r="B39" s="5" t="s">
        <v>201</v>
      </c>
      <c r="C39" s="5" t="s">
        <v>218</v>
      </c>
      <c r="D39" s="5" t="n">
        <v>6</v>
      </c>
      <c r="E39" s="5" t="s">
        <v>139</v>
      </c>
      <c r="F39" s="5" t="n">
        <v>4</v>
      </c>
      <c r="G39" s="5"/>
      <c r="H39" s="5"/>
      <c r="I39" s="5"/>
      <c r="J39" s="5"/>
      <c r="K39" s="5"/>
      <c r="L39" s="5"/>
      <c r="M39" s="5" t="n">
        <v>3</v>
      </c>
      <c r="N39" s="11" t="n">
        <f aca="false">F39*22</f>
        <v>88</v>
      </c>
      <c r="O39" s="11" t="n">
        <f aca="false">D39*55</f>
        <v>330</v>
      </c>
      <c r="P39" s="11" t="n">
        <f aca="false">O39-N39</f>
        <v>242</v>
      </c>
      <c r="Q39" s="11" t="n">
        <f aca="false">IF(M39&gt;0,P39/M39,0)</f>
        <v>80.6666666666667</v>
      </c>
      <c r="R39" s="12" t="n">
        <v>8</v>
      </c>
      <c r="S39" s="12" t="n">
        <f aca="false">FLOOR(1000/R39,1)</f>
        <v>125</v>
      </c>
      <c r="T39" s="12" t="n">
        <f aca="false">IF(D39&gt;0, (P39/D39)*S39, 0)</f>
        <v>5041.66666666667</v>
      </c>
      <c r="U39" s="12" t="n">
        <f aca="false">IF(M39&gt;0, T39/M39, 0)</f>
        <v>1680.55555555556</v>
      </c>
    </row>
    <row r="40" customFormat="false" ht="15" hidden="false" customHeight="true" outlineLevel="0" collapsed="false">
      <c r="A40" s="5" t="s">
        <v>220</v>
      </c>
      <c r="B40" s="5" t="s">
        <v>201</v>
      </c>
      <c r="C40" s="5" t="s">
        <v>220</v>
      </c>
      <c r="D40" s="5" t="n">
        <v>10</v>
      </c>
      <c r="E40" s="5" t="s">
        <v>142</v>
      </c>
      <c r="F40" s="5" t="n">
        <v>2</v>
      </c>
      <c r="G40" s="5" t="s">
        <v>147</v>
      </c>
      <c r="H40" s="5" t="n">
        <v>1</v>
      </c>
      <c r="I40" s="5"/>
      <c r="J40" s="5"/>
      <c r="K40" s="5"/>
      <c r="L40" s="5"/>
      <c r="M40" s="5" t="n">
        <v>2</v>
      </c>
      <c r="N40" s="11" t="n">
        <f aca="false">F40*32+H40*24</f>
        <v>88</v>
      </c>
      <c r="O40" s="11" t="n">
        <f aca="false">D40*58</f>
        <v>580</v>
      </c>
      <c r="P40" s="11" t="n">
        <f aca="false">O40-N40</f>
        <v>492</v>
      </c>
      <c r="Q40" s="11" t="n">
        <f aca="false">IF(M40&gt;0,P40/M40,0)</f>
        <v>246</v>
      </c>
      <c r="R40" s="12" t="n">
        <v>3</v>
      </c>
      <c r="S40" s="12" t="n">
        <f aca="false">FLOOR(1000/R40,1)</f>
        <v>333</v>
      </c>
      <c r="T40" s="12" t="n">
        <f aca="false">IF(D40&gt;0, (P40/D40)*S40, 0)</f>
        <v>16383.6</v>
      </c>
      <c r="U40" s="12" t="n">
        <f aca="false">IF(M40&gt;0, T40/M40, 0)</f>
        <v>8191.8</v>
      </c>
    </row>
    <row r="41" customFormat="false" ht="15" hidden="false" customHeight="true" outlineLevel="0" collapsed="false">
      <c r="A41" s="5" t="s">
        <v>222</v>
      </c>
      <c r="B41" s="5" t="s">
        <v>201</v>
      </c>
      <c r="C41" s="5" t="s">
        <v>222</v>
      </c>
      <c r="D41" s="5" t="n">
        <v>4</v>
      </c>
      <c r="E41" s="5" t="s">
        <v>18</v>
      </c>
      <c r="F41" s="5" t="n">
        <v>5</v>
      </c>
      <c r="G41" s="5" t="s">
        <v>80</v>
      </c>
      <c r="H41" s="5" t="n">
        <v>1</v>
      </c>
      <c r="I41" s="5"/>
      <c r="J41" s="5"/>
      <c r="K41" s="5"/>
      <c r="L41" s="5"/>
      <c r="M41" s="5" t="n">
        <v>8</v>
      </c>
      <c r="N41" s="11" t="n">
        <f aca="false">F41*4+H41*5</f>
        <v>25</v>
      </c>
      <c r="O41" s="11" t="n">
        <f aca="false">D41*65</f>
        <v>260</v>
      </c>
      <c r="P41" s="11" t="n">
        <f aca="false">O41-N41</f>
        <v>235</v>
      </c>
      <c r="Q41" s="11" t="n">
        <f aca="false">IF(M41&gt;0,P41/M41,0)</f>
        <v>29.375</v>
      </c>
      <c r="R41" s="12" t="n">
        <v>1</v>
      </c>
      <c r="S41" s="12" t="n">
        <f aca="false">FLOOR(1000/R41,1)</f>
        <v>1000</v>
      </c>
      <c r="T41" s="12" t="n">
        <f aca="false">IF(D41&gt;0, (P41/D41)*S41, 0)</f>
        <v>58750</v>
      </c>
      <c r="U41" s="12" t="n">
        <f aca="false">IF(M41&gt;0, T41/M41, 0)</f>
        <v>7343.75</v>
      </c>
    </row>
    <row r="42" customFormat="false" ht="15" hidden="false" customHeight="true" outlineLevel="0" collapsed="false">
      <c r="A42" s="5" t="s">
        <v>225</v>
      </c>
      <c r="B42" s="5" t="s">
        <v>201</v>
      </c>
      <c r="C42" s="5" t="s">
        <v>225</v>
      </c>
      <c r="D42" s="5" t="n">
        <v>6</v>
      </c>
      <c r="E42" s="5" t="s">
        <v>156</v>
      </c>
      <c r="F42" s="5" t="n">
        <v>2</v>
      </c>
      <c r="G42" s="5" t="s">
        <v>170</v>
      </c>
      <c r="H42" s="5" t="n">
        <v>1</v>
      </c>
      <c r="I42" s="5" t="s">
        <v>153</v>
      </c>
      <c r="J42" s="5" t="n">
        <v>1</v>
      </c>
      <c r="K42" s="5"/>
      <c r="L42" s="5"/>
      <c r="M42" s="5" t="n">
        <v>3</v>
      </c>
      <c r="N42" s="11" t="n">
        <f aca="false">F42*35+H42*18+J42*28</f>
        <v>116</v>
      </c>
      <c r="O42" s="11" t="n">
        <f aca="false">D42*85</f>
        <v>510</v>
      </c>
      <c r="P42" s="11" t="n">
        <f aca="false">O42-N42</f>
        <v>394</v>
      </c>
      <c r="Q42" s="11" t="n">
        <f aca="false">IF(M42&gt;0,P42/M42,0)</f>
        <v>131.333333333333</v>
      </c>
      <c r="R42" s="12" t="n">
        <v>0.4</v>
      </c>
      <c r="S42" s="12" t="n">
        <f aca="false">FLOOR(1000/R42,1)</f>
        <v>2500</v>
      </c>
      <c r="T42" s="12" t="n">
        <f aca="false">IF(D42&gt;0, (P42/D42)*S42, 0)</f>
        <v>164166.666666667</v>
      </c>
      <c r="U42" s="12" t="n">
        <f aca="false">IF(M42&gt;0, T42/M42, 0)</f>
        <v>54722.2222222222</v>
      </c>
    </row>
    <row r="43" customFormat="false" ht="15" hidden="false" customHeight="true" outlineLevel="0" collapsed="false">
      <c r="A43" s="5" t="s">
        <v>228</v>
      </c>
      <c r="B43" s="5" t="s">
        <v>201</v>
      </c>
      <c r="C43" s="5" t="s">
        <v>228</v>
      </c>
      <c r="D43" s="5" t="n">
        <v>10</v>
      </c>
      <c r="E43" s="5" t="s">
        <v>22</v>
      </c>
      <c r="F43" s="5" t="n">
        <v>4</v>
      </c>
      <c r="G43" s="5" t="s">
        <v>38</v>
      </c>
      <c r="H43" s="5" t="n">
        <v>1</v>
      </c>
      <c r="I43" s="5"/>
      <c r="J43" s="5"/>
      <c r="K43" s="5"/>
      <c r="L43" s="5"/>
      <c r="M43" s="5" t="n">
        <v>6</v>
      </c>
      <c r="N43" s="11" t="n">
        <f aca="false">F43*6+H43*7</f>
        <v>31</v>
      </c>
      <c r="O43" s="11" t="n">
        <f aca="false">D43*45</f>
        <v>450</v>
      </c>
      <c r="P43" s="11" t="n">
        <f aca="false">O43-N43</f>
        <v>419</v>
      </c>
      <c r="Q43" s="11" t="n">
        <f aca="false">IF(M43&gt;0,P43/M43,0)</f>
        <v>69.8333333333333</v>
      </c>
      <c r="R43" s="12" t="n">
        <v>0.8</v>
      </c>
      <c r="S43" s="12" t="n">
        <f aca="false">FLOOR(1000/R43,1)</f>
        <v>1250</v>
      </c>
      <c r="T43" s="12" t="n">
        <f aca="false">IF(D43&gt;0, (P43/D43)*S43, 0)</f>
        <v>52375</v>
      </c>
      <c r="U43" s="12" t="n">
        <f aca="false">IF(M43&gt;0, T43/M43, 0)</f>
        <v>8729.16666666667</v>
      </c>
    </row>
    <row r="44" customFormat="false" ht="15" hidden="false" customHeight="true" outlineLevel="0" collapsed="false">
      <c r="A44" s="5" t="s">
        <v>230</v>
      </c>
      <c r="B44" s="5" t="s">
        <v>201</v>
      </c>
      <c r="C44" s="5" t="s">
        <v>230</v>
      </c>
      <c r="D44" s="5" t="n">
        <v>5</v>
      </c>
      <c r="E44" s="5" t="s">
        <v>162</v>
      </c>
      <c r="F44" s="5" t="n">
        <v>2</v>
      </c>
      <c r="G44" s="5" t="s">
        <v>164</v>
      </c>
      <c r="H44" s="5" t="n">
        <v>2</v>
      </c>
      <c r="I44" s="5" t="s">
        <v>170</v>
      </c>
      <c r="J44" s="5" t="n">
        <v>1</v>
      </c>
      <c r="K44" s="5"/>
      <c r="L44" s="5"/>
      <c r="M44" s="5" t="n">
        <v>4</v>
      </c>
      <c r="N44" s="11" t="n">
        <f aca="false">F44*12+H44*22+J44*18</f>
        <v>86</v>
      </c>
      <c r="O44" s="11" t="n">
        <f aca="false">D44*75</f>
        <v>375</v>
      </c>
      <c r="P44" s="11" t="n">
        <f aca="false">O44-N44</f>
        <v>289</v>
      </c>
      <c r="Q44" s="11" t="n">
        <f aca="false">IF(M44&gt;0,P44/M44,0)</f>
        <v>72.25</v>
      </c>
      <c r="R44" s="12" t="n">
        <v>1.2</v>
      </c>
      <c r="S44" s="12" t="n">
        <f aca="false">FLOOR(1000/R44,1)</f>
        <v>833</v>
      </c>
      <c r="T44" s="12" t="n">
        <f aca="false">IF(D44&gt;0, (P44/D44)*S44, 0)</f>
        <v>48147.4</v>
      </c>
      <c r="U44" s="12" t="n">
        <f aca="false">IF(M44&gt;0, T44/M44, 0)</f>
        <v>12036.85</v>
      </c>
    </row>
    <row r="45" customFormat="false" ht="15" hidden="false" customHeight="true" outlineLevel="0" collapsed="false">
      <c r="A45" s="5" t="s">
        <v>233</v>
      </c>
      <c r="B45" s="5" t="s">
        <v>201</v>
      </c>
      <c r="C45" s="5" t="s">
        <v>233</v>
      </c>
      <c r="D45" s="5" t="n">
        <v>8</v>
      </c>
      <c r="E45" s="5" t="s">
        <v>150</v>
      </c>
      <c r="F45" s="5" t="n">
        <v>2</v>
      </c>
      <c r="G45" s="5" t="s">
        <v>170</v>
      </c>
      <c r="H45" s="5" t="n">
        <v>2</v>
      </c>
      <c r="I45" s="5" t="s">
        <v>172</v>
      </c>
      <c r="J45" s="5" t="n">
        <v>1</v>
      </c>
      <c r="K45" s="5"/>
      <c r="L45" s="5"/>
      <c r="M45" s="5" t="n">
        <v>3</v>
      </c>
      <c r="N45" s="11" t="n">
        <f aca="false">F45*15+H45*18+J45*120</f>
        <v>186</v>
      </c>
      <c r="O45" s="11" t="n">
        <f aca="false">D45*58</f>
        <v>464</v>
      </c>
      <c r="P45" s="11" t="n">
        <f aca="false">O45-N45</f>
        <v>278</v>
      </c>
      <c r="Q45" s="11" t="n">
        <f aca="false">IF(M45&gt;0,P45/M45,0)</f>
        <v>92.6666666666667</v>
      </c>
      <c r="R45" s="12" t="n">
        <v>0.7</v>
      </c>
      <c r="S45" s="12" t="n">
        <f aca="false">FLOOR(1000/R45,1)</f>
        <v>1428</v>
      </c>
      <c r="T45" s="12" t="n">
        <f aca="false">IF(D45&gt;0, (P45/D45)*S45, 0)</f>
        <v>49623</v>
      </c>
      <c r="U45" s="12" t="n">
        <f aca="false">IF(M45&gt;0, T45/M45, 0)</f>
        <v>16541</v>
      </c>
    </row>
    <row r="46" customFormat="false" ht="15" hidden="false" customHeight="true" outlineLevel="0" collapsed="false">
      <c r="A46" s="5" t="s">
        <v>236</v>
      </c>
      <c r="B46" s="5" t="s">
        <v>201</v>
      </c>
      <c r="C46" s="5" t="s">
        <v>236</v>
      </c>
      <c r="D46" s="5" t="n">
        <v>8</v>
      </c>
      <c r="E46" s="5" t="s">
        <v>162</v>
      </c>
      <c r="F46" s="5" t="n">
        <v>2</v>
      </c>
      <c r="G46" s="5" t="s">
        <v>153</v>
      </c>
      <c r="H46" s="5" t="n">
        <v>2</v>
      </c>
      <c r="I46" s="5" t="s">
        <v>170</v>
      </c>
      <c r="J46" s="5" t="n">
        <v>1</v>
      </c>
      <c r="K46" s="5"/>
      <c r="L46" s="5"/>
      <c r="M46" s="5" t="n">
        <v>2</v>
      </c>
      <c r="N46" s="11" t="n">
        <f aca="false">F46*12+H46*28+J46*18</f>
        <v>98</v>
      </c>
      <c r="O46" s="11" t="n">
        <f aca="false">D46*38</f>
        <v>304</v>
      </c>
      <c r="P46" s="11" t="n">
        <f aca="false">O46-N46</f>
        <v>206</v>
      </c>
      <c r="Q46" s="11" t="n">
        <f aca="false">IF(M46&gt;0,P46/M46,0)</f>
        <v>103</v>
      </c>
      <c r="R46" s="12" t="n">
        <v>0.5</v>
      </c>
      <c r="S46" s="12" t="n">
        <f aca="false">FLOOR(1000/R46,1)</f>
        <v>2000</v>
      </c>
      <c r="T46" s="12" t="n">
        <f aca="false">IF(D46&gt;0, (P46/D46)*S46, 0)</f>
        <v>51500</v>
      </c>
      <c r="U46" s="12" t="n">
        <f aca="false">IF(M46&gt;0, T46/M46, 0)</f>
        <v>25750</v>
      </c>
    </row>
    <row r="47" customFormat="false" ht="15" hidden="false" customHeight="true" outlineLevel="0" collapsed="false">
      <c r="A47" s="5" t="s">
        <v>238</v>
      </c>
      <c r="B47" s="5" t="s">
        <v>201</v>
      </c>
      <c r="C47" s="5" t="s">
        <v>238</v>
      </c>
      <c r="D47" s="5" t="n">
        <v>15</v>
      </c>
      <c r="E47" s="5" t="s">
        <v>162</v>
      </c>
      <c r="F47" s="5" t="n">
        <v>3</v>
      </c>
      <c r="G47" s="5" t="s">
        <v>153</v>
      </c>
      <c r="H47" s="5" t="n">
        <v>1</v>
      </c>
      <c r="I47" s="5" t="s">
        <v>42</v>
      </c>
      <c r="J47" s="5" t="n">
        <v>1</v>
      </c>
      <c r="K47" s="5"/>
      <c r="L47" s="5"/>
      <c r="M47" s="5" t="n">
        <v>2.5</v>
      </c>
      <c r="N47" s="11" t="n">
        <f aca="false">F47*12+H47*28+J47*1</f>
        <v>65</v>
      </c>
      <c r="O47" s="11" t="n">
        <f aca="false">D47*35</f>
        <v>525</v>
      </c>
      <c r="P47" s="11" t="n">
        <f aca="false">O47-N47</f>
        <v>460</v>
      </c>
      <c r="Q47" s="11" t="n">
        <f aca="false">IF(M47&gt;0,P47/M47,0)</f>
        <v>184</v>
      </c>
      <c r="R47" s="12" t="n">
        <v>0.6</v>
      </c>
      <c r="S47" s="12" t="n">
        <f aca="false">FLOOR(1000/R47,1)</f>
        <v>1666</v>
      </c>
      <c r="T47" s="12" t="n">
        <f aca="false">IF(D47&gt;0, (P47/D47)*S47, 0)</f>
        <v>51090.6666666667</v>
      </c>
      <c r="U47" s="12" t="n">
        <f aca="false">IF(M47&gt;0, T47/M47, 0)</f>
        <v>20436.2666666667</v>
      </c>
    </row>
    <row r="48" customFormat="false" ht="15" hidden="false" customHeight="true" outlineLevel="0" collapsed="false">
      <c r="A48" s="5" t="s">
        <v>241</v>
      </c>
      <c r="B48" s="5" t="s">
        <v>201</v>
      </c>
      <c r="C48" s="5" t="s">
        <v>241</v>
      </c>
      <c r="D48" s="5" t="n">
        <v>10</v>
      </c>
      <c r="E48" s="5" t="s">
        <v>167</v>
      </c>
      <c r="F48" s="5" t="n">
        <v>3</v>
      </c>
      <c r="G48" s="5" t="s">
        <v>80</v>
      </c>
      <c r="H48" s="5" t="n">
        <v>1</v>
      </c>
      <c r="I48" s="5"/>
      <c r="J48" s="5"/>
      <c r="K48" s="5"/>
      <c r="L48" s="5"/>
      <c r="M48" s="5" t="n">
        <v>3</v>
      </c>
      <c r="N48" s="11" t="n">
        <f aca="false">F48*30+H48*5</f>
        <v>95</v>
      </c>
      <c r="O48" s="11" t="n">
        <f aca="false">D48*48</f>
        <v>480</v>
      </c>
      <c r="P48" s="11" t="n">
        <f aca="false">O48-N48</f>
        <v>385</v>
      </c>
      <c r="Q48" s="11" t="n">
        <f aca="false">IF(M48&gt;0,P48/M48,0)</f>
        <v>128.333333333333</v>
      </c>
      <c r="R48" s="12" t="n">
        <v>1.5</v>
      </c>
      <c r="S48" s="12" t="n">
        <f aca="false">FLOOR(1000/R48,1)</f>
        <v>666</v>
      </c>
      <c r="T48" s="12" t="n">
        <f aca="false">IF(D48&gt;0, (P48/D48)*S48, 0)</f>
        <v>25641</v>
      </c>
      <c r="U48" s="12" t="n">
        <f aca="false">IF(M48&gt;0, T48/M48, 0)</f>
        <v>8547</v>
      </c>
    </row>
    <row r="49" customFormat="false" ht="15" hidden="false" customHeight="true" outlineLevel="0" collapsed="false">
      <c r="A49" s="5" t="s">
        <v>244</v>
      </c>
      <c r="B49" s="5" t="s">
        <v>201</v>
      </c>
      <c r="C49" s="5" t="s">
        <v>244</v>
      </c>
      <c r="D49" s="5" t="n">
        <v>8</v>
      </c>
      <c r="E49" s="5" t="s">
        <v>159</v>
      </c>
      <c r="F49" s="5" t="n">
        <v>2</v>
      </c>
      <c r="G49" s="5" t="s">
        <v>97</v>
      </c>
      <c r="H49" s="5" t="n">
        <v>1</v>
      </c>
      <c r="I49" s="5" t="s">
        <v>80</v>
      </c>
      <c r="J49" s="5" t="n">
        <v>1</v>
      </c>
      <c r="K49" s="5"/>
      <c r="L49" s="5"/>
      <c r="M49" s="5" t="n">
        <v>4</v>
      </c>
      <c r="N49" s="11" t="n">
        <f aca="false">F49*25+H49*8+J49*5</f>
        <v>63</v>
      </c>
      <c r="O49" s="11" t="n">
        <f aca="false">D49*55</f>
        <v>440</v>
      </c>
      <c r="P49" s="11" t="n">
        <f aca="false">O49-N49</f>
        <v>377</v>
      </c>
      <c r="Q49" s="11" t="n">
        <f aca="false">IF(M49&gt;0,P49/M49,0)</f>
        <v>94.25</v>
      </c>
      <c r="R49" s="12" t="n">
        <v>1.8</v>
      </c>
      <c r="S49" s="12" t="n">
        <f aca="false">FLOOR(1000/R49,1)</f>
        <v>555</v>
      </c>
      <c r="T49" s="12" t="n">
        <f aca="false">IF(D49&gt;0, (P49/D49)*S49, 0)</f>
        <v>26154.375</v>
      </c>
      <c r="U49" s="12" t="n">
        <f aca="false">IF(M49&gt;0, T49/M49, 0)</f>
        <v>6538.59375</v>
      </c>
    </row>
    <row r="50" customFormat="false" ht="15" hidden="false" customHeight="true" outlineLevel="0" collapsed="false">
      <c r="A50" s="5" t="s">
        <v>247</v>
      </c>
      <c r="B50" s="5" t="s">
        <v>201</v>
      </c>
      <c r="C50" s="5" t="s">
        <v>247</v>
      </c>
      <c r="D50" s="5" t="n">
        <v>12</v>
      </c>
      <c r="E50" s="5" t="s">
        <v>175</v>
      </c>
      <c r="F50" s="5" t="n">
        <v>2</v>
      </c>
      <c r="G50" s="5" t="s">
        <v>150</v>
      </c>
      <c r="H50" s="5" t="n">
        <v>1</v>
      </c>
      <c r="I50" s="5"/>
      <c r="J50" s="5"/>
      <c r="K50" s="5"/>
      <c r="L50" s="5"/>
      <c r="M50" s="5" t="n">
        <v>2</v>
      </c>
      <c r="N50" s="11" t="n">
        <f aca="false">F50*20+H50*15</f>
        <v>55</v>
      </c>
      <c r="O50" s="11" t="n">
        <f aca="false">D50*42</f>
        <v>504</v>
      </c>
      <c r="P50" s="11" t="n">
        <f aca="false">O50-N50</f>
        <v>449</v>
      </c>
      <c r="Q50" s="11" t="n">
        <f aca="false">IF(M50&gt;0,P50/M50,0)</f>
        <v>224.5</v>
      </c>
      <c r="R50" s="12" t="n">
        <v>1.2</v>
      </c>
      <c r="S50" s="12" t="n">
        <f aca="false">FLOOR(1000/R50,1)</f>
        <v>833</v>
      </c>
      <c r="T50" s="12" t="n">
        <f aca="false">IF(D50&gt;0, (P50/D50)*S50, 0)</f>
        <v>31168.0833333333</v>
      </c>
      <c r="U50" s="12" t="n">
        <f aca="false">IF(M50&gt;0, T50/M50, 0)</f>
        <v>15584.0416666667</v>
      </c>
    </row>
    <row r="51" customFormat="false" ht="15" hidden="false" customHeight="true" outlineLevel="0" collapsed="false">
      <c r="A51" s="5" t="s">
        <v>250</v>
      </c>
      <c r="B51" s="5" t="s">
        <v>201</v>
      </c>
      <c r="C51" s="5" t="s">
        <v>250</v>
      </c>
      <c r="D51" s="5" t="n">
        <v>6</v>
      </c>
      <c r="E51" s="5" t="s">
        <v>104</v>
      </c>
      <c r="F51" s="5" t="n">
        <v>2</v>
      </c>
      <c r="G51" s="5" t="s">
        <v>194</v>
      </c>
      <c r="H51" s="5" t="n">
        <v>1</v>
      </c>
      <c r="I51" s="5"/>
      <c r="J51" s="5"/>
      <c r="K51" s="5"/>
      <c r="L51" s="5"/>
      <c r="M51" s="5" t="n">
        <v>3</v>
      </c>
      <c r="N51" s="11" t="n">
        <f aca="false">F51*12+H51*40</f>
        <v>64</v>
      </c>
      <c r="O51" s="11" t="n">
        <f aca="false">D51*68</f>
        <v>408</v>
      </c>
      <c r="P51" s="11" t="n">
        <f aca="false">O51-N51</f>
        <v>344</v>
      </c>
      <c r="Q51" s="11" t="n">
        <f aca="false">IF(M51&gt;0,P51/M51,0)</f>
        <v>114.666666666667</v>
      </c>
      <c r="R51" s="12" t="n">
        <v>2</v>
      </c>
      <c r="S51" s="12" t="n">
        <f aca="false">FLOOR(1000/R51,1)</f>
        <v>500</v>
      </c>
      <c r="T51" s="12" t="n">
        <f aca="false">IF(D51&gt;0, (P51/D51)*S51, 0)</f>
        <v>28666.6666666667</v>
      </c>
      <c r="U51" s="12" t="n">
        <f aca="false">IF(M51&gt;0, T51/M51, 0)</f>
        <v>9555.55555555556</v>
      </c>
    </row>
    <row r="52" customFormat="false" ht="15" hidden="false" customHeight="true" outlineLevel="0" collapsed="false">
      <c r="A52" s="5" t="s">
        <v>252</v>
      </c>
      <c r="B52" s="5" t="s">
        <v>201</v>
      </c>
      <c r="C52" s="5" t="s">
        <v>252</v>
      </c>
      <c r="D52" s="5" t="n">
        <v>10</v>
      </c>
      <c r="E52" s="5" t="s">
        <v>194</v>
      </c>
      <c r="F52" s="5" t="n">
        <v>1</v>
      </c>
      <c r="G52" s="5" t="s">
        <v>42</v>
      </c>
      <c r="H52" s="5" t="n">
        <v>3</v>
      </c>
      <c r="I52" s="5"/>
      <c r="J52" s="5"/>
      <c r="K52" s="5"/>
      <c r="L52" s="5"/>
      <c r="M52" s="5" t="n">
        <v>2</v>
      </c>
      <c r="N52" s="11" t="n">
        <f aca="false">F52*40+H52*1</f>
        <v>43</v>
      </c>
      <c r="O52" s="11" t="n">
        <f aca="false">D52*35</f>
        <v>350</v>
      </c>
      <c r="P52" s="11" t="n">
        <f aca="false">O52-N52</f>
        <v>307</v>
      </c>
      <c r="Q52" s="11" t="n">
        <f aca="false">IF(M52&gt;0,P52/M52,0)</f>
        <v>153.5</v>
      </c>
      <c r="R52" s="12" t="n">
        <v>3</v>
      </c>
      <c r="S52" s="12" t="n">
        <f aca="false">FLOOR(1000/R52,1)</f>
        <v>333</v>
      </c>
      <c r="T52" s="12" t="n">
        <f aca="false">IF(D52&gt;0, (P52/D52)*S52, 0)</f>
        <v>10223.1</v>
      </c>
      <c r="U52" s="12" t="n">
        <f aca="false">IF(M52&gt;0, T52/M52, 0)</f>
        <v>5111.55</v>
      </c>
    </row>
    <row r="53" customFormat="false" ht="15" hidden="false" customHeight="true" outlineLevel="0" collapsed="false">
      <c r="A53" s="5" t="s">
        <v>254</v>
      </c>
      <c r="B53" s="5" t="s">
        <v>201</v>
      </c>
      <c r="C53" s="5" t="s">
        <v>254</v>
      </c>
      <c r="D53" s="5" t="n">
        <v>8</v>
      </c>
      <c r="E53" s="5" t="s">
        <v>188</v>
      </c>
      <c r="F53" s="5" t="n">
        <v>2</v>
      </c>
      <c r="G53" s="5" t="s">
        <v>49</v>
      </c>
      <c r="H53" s="5" t="n">
        <v>1</v>
      </c>
      <c r="I53" s="5"/>
      <c r="J53" s="5"/>
      <c r="K53" s="5"/>
      <c r="L53" s="5"/>
      <c r="M53" s="5" t="n">
        <v>3</v>
      </c>
      <c r="N53" s="11" t="n">
        <f aca="false">F53*60+H53*10</f>
        <v>130</v>
      </c>
      <c r="O53" s="11" t="n">
        <f aca="false">D53*88</f>
        <v>704</v>
      </c>
      <c r="P53" s="11" t="n">
        <f aca="false">O53-N53</f>
        <v>574</v>
      </c>
      <c r="Q53" s="11" t="n">
        <f aca="false">IF(M53&gt;0,P53/M53,0)</f>
        <v>191.333333333333</v>
      </c>
      <c r="R53" s="12" t="n">
        <v>4.5</v>
      </c>
      <c r="S53" s="12" t="n">
        <f aca="false">FLOOR(1000/R53,1)</f>
        <v>222</v>
      </c>
      <c r="T53" s="12" t="n">
        <f aca="false">IF(D53&gt;0, (P53/D53)*S53, 0)</f>
        <v>15928.5</v>
      </c>
      <c r="U53" s="12" t="n">
        <f aca="false">IF(M53&gt;0, T53/M53, 0)</f>
        <v>5309.5</v>
      </c>
    </row>
    <row r="54" customFormat="false" ht="15" hidden="false" customHeight="true" outlineLevel="0" collapsed="false">
      <c r="A54" s="5" t="s">
        <v>256</v>
      </c>
      <c r="B54" s="5" t="s">
        <v>201</v>
      </c>
      <c r="C54" s="5" t="s">
        <v>256</v>
      </c>
      <c r="D54" s="5" t="n">
        <v>6</v>
      </c>
      <c r="E54" s="5" t="s">
        <v>188</v>
      </c>
      <c r="F54" s="5" t="n">
        <v>2</v>
      </c>
      <c r="G54" s="5" t="s">
        <v>88</v>
      </c>
      <c r="H54" s="5" t="n">
        <v>1</v>
      </c>
      <c r="I54" s="5"/>
      <c r="J54" s="5"/>
      <c r="K54" s="5"/>
      <c r="L54" s="5"/>
      <c r="M54" s="5" t="n">
        <v>4</v>
      </c>
      <c r="N54" s="11" t="n">
        <f aca="false">F54*60+H54*25</f>
        <v>145</v>
      </c>
      <c r="O54" s="11" t="n">
        <f aca="false">D54*135</f>
        <v>810</v>
      </c>
      <c r="P54" s="11" t="n">
        <f aca="false">O54-N54</f>
        <v>665</v>
      </c>
      <c r="Q54" s="11" t="n">
        <f aca="false">IF(M54&gt;0,P54/M54,0)</f>
        <v>166.25</v>
      </c>
      <c r="R54" s="12" t="n">
        <v>5</v>
      </c>
      <c r="S54" s="12" t="n">
        <f aca="false">FLOOR(1000/R54,1)</f>
        <v>200</v>
      </c>
      <c r="T54" s="12" t="n">
        <f aca="false">IF(D54&gt;0, (P54/D54)*S54, 0)</f>
        <v>22166.6666666667</v>
      </c>
      <c r="U54" s="12" t="n">
        <f aca="false">IF(M54&gt;0, T54/M54, 0)</f>
        <v>5541.66666666667</v>
      </c>
    </row>
    <row r="55" customFormat="false" ht="15" hidden="false" customHeight="true" outlineLevel="0" collapsed="false">
      <c r="A55" s="5" t="s">
        <v>259</v>
      </c>
      <c r="B55" s="5" t="s">
        <v>201</v>
      </c>
      <c r="C55" s="5" t="s">
        <v>259</v>
      </c>
      <c r="D55" s="5" t="n">
        <v>1</v>
      </c>
      <c r="E55" s="5" t="s">
        <v>197</v>
      </c>
      <c r="F55" s="5" t="n">
        <v>3</v>
      </c>
      <c r="G55" s="5" t="s">
        <v>117</v>
      </c>
      <c r="H55" s="5" t="n">
        <v>2</v>
      </c>
      <c r="I55" s="5"/>
      <c r="J55" s="5"/>
      <c r="K55" s="5"/>
      <c r="L55" s="5"/>
      <c r="M55" s="5" t="n">
        <v>24</v>
      </c>
      <c r="N55" s="11" t="n">
        <f aca="false">F55*300+H55*45</f>
        <v>990</v>
      </c>
      <c r="O55" s="11" t="n">
        <f aca="false">D55*850</f>
        <v>850</v>
      </c>
      <c r="P55" s="11" t="n">
        <f aca="false">O55-N55</f>
        <v>-140</v>
      </c>
      <c r="Q55" s="11" t="n">
        <f aca="false">IF(M55&gt;0,P55/M55,0)</f>
        <v>-5.83333333333333</v>
      </c>
      <c r="R55" s="12" t="n">
        <v>8</v>
      </c>
      <c r="S55" s="12" t="n">
        <f aca="false">FLOOR(1000/R55,1)</f>
        <v>125</v>
      </c>
      <c r="T55" s="12" t="n">
        <f aca="false">IF(D55&gt;0, (P55/D55)*S55, 0)</f>
        <v>-17500</v>
      </c>
      <c r="U55" s="12" t="n">
        <f aca="false">IF(M55&gt;0, T55/M55, 0)</f>
        <v>-729.166666666667</v>
      </c>
    </row>
    <row r="56" customFormat="false" ht="15" hidden="false" customHeight="true" outlineLevel="0" collapsed="false">
      <c r="A56" s="5" t="s">
        <v>261</v>
      </c>
      <c r="B56" s="5" t="s">
        <v>201</v>
      </c>
      <c r="C56" s="5" t="s">
        <v>261</v>
      </c>
      <c r="D56" s="5" t="n">
        <v>8</v>
      </c>
      <c r="E56" s="5" t="s">
        <v>88</v>
      </c>
      <c r="F56" s="5" t="n">
        <v>1</v>
      </c>
      <c r="G56" s="5" t="s">
        <v>194</v>
      </c>
      <c r="H56" s="5" t="n">
        <v>1</v>
      </c>
      <c r="I56" s="5" t="s">
        <v>42</v>
      </c>
      <c r="J56" s="5" t="n">
        <v>1</v>
      </c>
      <c r="K56" s="5"/>
      <c r="L56" s="5"/>
      <c r="M56" s="5" t="n">
        <v>2.5</v>
      </c>
      <c r="N56" s="11" t="n">
        <f aca="false">F56*25+H56*40+J56*1</f>
        <v>66</v>
      </c>
      <c r="O56" s="11" t="n">
        <f aca="false">D56*52</f>
        <v>416</v>
      </c>
      <c r="P56" s="11" t="n">
        <f aca="false">O56-N56</f>
        <v>350</v>
      </c>
      <c r="Q56" s="11" t="n">
        <f aca="false">IF(M56&gt;0,P56/M56,0)</f>
        <v>140</v>
      </c>
      <c r="R56" s="12" t="n">
        <v>3.5</v>
      </c>
      <c r="S56" s="12" t="n">
        <f aca="false">FLOOR(1000/R56,1)</f>
        <v>285</v>
      </c>
      <c r="T56" s="12" t="n">
        <f aca="false">IF(D56&gt;0, (P56/D56)*S56, 0)</f>
        <v>12468.75</v>
      </c>
      <c r="U56" s="12" t="n">
        <f aca="false">IF(M56&gt;0, T56/M56, 0)</f>
        <v>4987.5</v>
      </c>
    </row>
    <row r="57" customFormat="false" ht="15" hidden="false" customHeight="true" outlineLevel="0" collapsed="false">
      <c r="A57" s="5" t="s">
        <v>264</v>
      </c>
      <c r="B57" s="5" t="s">
        <v>201</v>
      </c>
      <c r="C57" s="5" t="s">
        <v>264</v>
      </c>
      <c r="D57" s="5" t="n">
        <v>8</v>
      </c>
      <c r="E57" s="5" t="s">
        <v>88</v>
      </c>
      <c r="F57" s="5" t="n">
        <v>2</v>
      </c>
      <c r="G57" s="5" t="s">
        <v>194</v>
      </c>
      <c r="H57" s="5" t="n">
        <v>1</v>
      </c>
      <c r="I57" s="5"/>
      <c r="J57" s="5"/>
      <c r="K57" s="5"/>
      <c r="L57" s="5"/>
      <c r="M57" s="5" t="n">
        <v>3</v>
      </c>
      <c r="N57" s="11" t="n">
        <f aca="false">F57*25+H57*40</f>
        <v>90</v>
      </c>
      <c r="O57" s="11" t="n">
        <f aca="false">D57*62</f>
        <v>496</v>
      </c>
      <c r="P57" s="11" t="n">
        <f aca="false">O57-N57</f>
        <v>406</v>
      </c>
      <c r="Q57" s="11" t="n">
        <f aca="false">IF(M57&gt;0,P57/M57,0)</f>
        <v>135.333333333333</v>
      </c>
      <c r="R57" s="12" t="n">
        <v>2.5</v>
      </c>
      <c r="S57" s="12" t="n">
        <f aca="false">FLOOR(1000/R57,1)</f>
        <v>400</v>
      </c>
      <c r="T57" s="12" t="n">
        <f aca="false">IF(D57&gt;0, (P57/D57)*S57, 0)</f>
        <v>20300</v>
      </c>
      <c r="U57" s="12" t="n">
        <f aca="false">IF(M57&gt;0, T57/M57, 0)</f>
        <v>6766.66666666667</v>
      </c>
    </row>
    <row r="58" customFormat="false" ht="15" hidden="false" customHeight="true" outlineLevel="0" collapsed="false">
      <c r="A58" s="5" t="s">
        <v>267</v>
      </c>
      <c r="B58" s="5" t="s">
        <v>201</v>
      </c>
      <c r="C58" s="5" t="s">
        <v>267</v>
      </c>
      <c r="D58" s="5" t="n">
        <v>5</v>
      </c>
      <c r="E58" s="5" t="s">
        <v>178</v>
      </c>
      <c r="F58" s="5" t="n">
        <v>3</v>
      </c>
      <c r="G58" s="5" t="s">
        <v>194</v>
      </c>
      <c r="H58" s="5" t="n">
        <v>1</v>
      </c>
      <c r="I58" s="5"/>
      <c r="J58" s="5"/>
      <c r="K58" s="5"/>
      <c r="L58" s="5"/>
      <c r="M58" s="5" t="n">
        <v>8</v>
      </c>
      <c r="N58" s="11" t="n">
        <f aca="false">F58*48+H58*40</f>
        <v>184</v>
      </c>
      <c r="O58" s="11" t="n">
        <f aca="false">D58*115</f>
        <v>575</v>
      </c>
      <c r="P58" s="11" t="n">
        <f aca="false">O58-N58</f>
        <v>391</v>
      </c>
      <c r="Q58" s="11" t="n">
        <f aca="false">IF(M58&gt;0,P58/M58,0)</f>
        <v>48.875</v>
      </c>
      <c r="R58" s="12" t="n">
        <v>4</v>
      </c>
      <c r="S58" s="12" t="n">
        <f aca="false">FLOOR(1000/R58,1)</f>
        <v>250</v>
      </c>
      <c r="T58" s="12" t="n">
        <f aca="false">IF(D58&gt;0, (P58/D58)*S58, 0)</f>
        <v>19550</v>
      </c>
      <c r="U58" s="12" t="n">
        <f aca="false">IF(M58&gt;0, T58/M58, 0)</f>
        <v>2443.75</v>
      </c>
    </row>
    <row r="59" customFormat="false" ht="15" hidden="false" customHeight="true" outlineLevel="0" collapsed="false">
      <c r="A59" s="5" t="s">
        <v>270</v>
      </c>
      <c r="B59" s="5" t="s">
        <v>201</v>
      </c>
      <c r="C59" s="5" t="s">
        <v>270</v>
      </c>
      <c r="D59" s="5" t="n">
        <v>2</v>
      </c>
      <c r="E59" s="5" t="s">
        <v>256</v>
      </c>
      <c r="F59" s="5" t="n">
        <v>2</v>
      </c>
      <c r="G59" s="5" t="s">
        <v>194</v>
      </c>
      <c r="H59" s="5" t="n">
        <v>2</v>
      </c>
      <c r="I59" s="5"/>
      <c r="J59" s="5"/>
      <c r="K59" s="5"/>
      <c r="L59" s="5"/>
      <c r="M59" s="5" t="n">
        <v>10</v>
      </c>
      <c r="N59" s="11" t="n">
        <f aca="false">F59*135+H59*40</f>
        <v>350</v>
      </c>
      <c r="O59" s="11" t="n">
        <f aca="false">D59*285</f>
        <v>570</v>
      </c>
      <c r="P59" s="11" t="n">
        <f aca="false">O59-N59</f>
        <v>220</v>
      </c>
      <c r="Q59" s="11" t="n">
        <f aca="false">IF(M59&gt;0,P59/M59,0)</f>
        <v>22</v>
      </c>
      <c r="R59" s="12" t="n">
        <v>6</v>
      </c>
      <c r="S59" s="12" t="n">
        <f aca="false">FLOOR(1000/R59,1)</f>
        <v>166</v>
      </c>
      <c r="T59" s="12" t="n">
        <f aca="false">IF(D59&gt;0, (P59/D59)*S59, 0)</f>
        <v>18260</v>
      </c>
      <c r="U59" s="12" t="n">
        <f aca="false">IF(M59&gt;0, T59/M59, 0)</f>
        <v>1826</v>
      </c>
    </row>
    <row r="60" customFormat="false" ht="15" hidden="false" customHeight="true" outlineLevel="0" collapsed="false">
      <c r="A60" s="5" t="s">
        <v>273</v>
      </c>
      <c r="B60" s="5" t="s">
        <v>201</v>
      </c>
      <c r="C60" s="5" t="s">
        <v>273</v>
      </c>
      <c r="D60" s="5" t="n">
        <v>3</v>
      </c>
      <c r="E60" s="5" t="s">
        <v>123</v>
      </c>
      <c r="F60" s="5" t="n">
        <v>2</v>
      </c>
      <c r="G60" s="5" t="s">
        <v>114</v>
      </c>
      <c r="H60" s="5" t="n">
        <v>1</v>
      </c>
      <c r="I60" s="5"/>
      <c r="J60" s="5"/>
      <c r="K60" s="5"/>
      <c r="L60" s="5"/>
      <c r="M60" s="5" t="n">
        <v>8</v>
      </c>
      <c r="N60" s="11" t="n">
        <f aca="false">F60*90+H60*38</f>
        <v>218</v>
      </c>
      <c r="O60" s="11" t="n">
        <f aca="false">D60*185</f>
        <v>555</v>
      </c>
      <c r="P60" s="11" t="n">
        <f aca="false">O60-N60</f>
        <v>337</v>
      </c>
      <c r="Q60" s="11" t="n">
        <f aca="false">IF(M60&gt;0,P60/M60,0)</f>
        <v>42.125</v>
      </c>
      <c r="R60" s="12" t="n">
        <v>2</v>
      </c>
      <c r="S60" s="12" t="n">
        <f aca="false">FLOOR(1000/R60,1)</f>
        <v>500</v>
      </c>
      <c r="T60" s="12" t="n">
        <f aca="false">IF(D60&gt;0, (P60/D60)*S60, 0)</f>
        <v>56166.6666666667</v>
      </c>
      <c r="U60" s="12" t="n">
        <f aca="false">IF(M60&gt;0, T60/M60, 0)</f>
        <v>7020.83333333333</v>
      </c>
    </row>
    <row r="61" customFormat="false" ht="15" hidden="false" customHeight="true" outlineLevel="0" collapsed="false">
      <c r="A61" s="5" t="s">
        <v>276</v>
      </c>
      <c r="B61" s="5" t="s">
        <v>201</v>
      </c>
      <c r="C61" s="5" t="s">
        <v>276</v>
      </c>
      <c r="D61" s="5" t="n">
        <v>15</v>
      </c>
      <c r="E61" s="5" t="s">
        <v>147</v>
      </c>
      <c r="F61" s="5" t="n">
        <v>3</v>
      </c>
      <c r="G61" s="5" t="s">
        <v>42</v>
      </c>
      <c r="H61" s="5" t="n">
        <v>1</v>
      </c>
      <c r="I61" s="5"/>
      <c r="J61" s="5"/>
      <c r="K61" s="5"/>
      <c r="L61" s="5"/>
      <c r="M61" s="5" t="n">
        <v>2</v>
      </c>
      <c r="N61" s="11" t="n">
        <f aca="false">F61*24+H61*1</f>
        <v>73</v>
      </c>
      <c r="O61" s="11" t="n">
        <f aca="false">D61*48</f>
        <v>720</v>
      </c>
      <c r="P61" s="11" t="n">
        <f aca="false">O61-N61</f>
        <v>647</v>
      </c>
      <c r="Q61" s="11" t="n">
        <f aca="false">IF(M61&gt;0,P61/M61,0)</f>
        <v>323.5</v>
      </c>
      <c r="R61" s="12" t="n">
        <v>0.5</v>
      </c>
      <c r="S61" s="12" t="n">
        <f aca="false">FLOOR(1000/R61,1)</f>
        <v>2000</v>
      </c>
      <c r="T61" s="12" t="n">
        <f aca="false">IF(D61&gt;0, (P61/D61)*S61, 0)</f>
        <v>86266.6666666667</v>
      </c>
      <c r="U61" s="12" t="n">
        <f aca="false">IF(M61&gt;0, T61/M61, 0)</f>
        <v>43133.3333333333</v>
      </c>
    </row>
    <row r="62" customFormat="false" ht="15" hidden="false" customHeight="true" outlineLevel="0" collapsed="false">
      <c r="A62" s="5" t="s">
        <v>280</v>
      </c>
      <c r="B62" s="5" t="s">
        <v>201</v>
      </c>
      <c r="C62" s="5" t="s">
        <v>280</v>
      </c>
      <c r="D62" s="5" t="n">
        <v>3</v>
      </c>
      <c r="E62" s="5" t="s">
        <v>205</v>
      </c>
      <c r="F62" s="5" t="n">
        <v>3</v>
      </c>
      <c r="G62" s="5" t="s">
        <v>45</v>
      </c>
      <c r="H62" s="5" t="n">
        <v>2</v>
      </c>
      <c r="I62" s="5"/>
      <c r="J62" s="5"/>
      <c r="K62" s="5"/>
      <c r="L62" s="5"/>
      <c r="M62" s="5" t="n">
        <v>5</v>
      </c>
      <c r="N62" s="11" t="n">
        <f aca="false">F62*95+H62*15</f>
        <v>315</v>
      </c>
      <c r="O62" s="11" t="n">
        <f aca="false">D62*120</f>
        <v>360</v>
      </c>
      <c r="P62" s="11" t="n">
        <f aca="false">O62-N62</f>
        <v>45</v>
      </c>
      <c r="Q62" s="11" t="n">
        <f aca="false">IF(M62&gt;0,P62/M62,0)</f>
        <v>9</v>
      </c>
      <c r="R62" s="12" t="n">
        <v>15</v>
      </c>
      <c r="S62" s="12" t="n">
        <f aca="false">FLOOR(1000/R62,1)</f>
        <v>66</v>
      </c>
      <c r="T62" s="12" t="n">
        <f aca="false">IF(D62&gt;0, (P62/D62)*S62, 0)</f>
        <v>990</v>
      </c>
      <c r="U62" s="12" t="n">
        <f aca="false">IF(M62&gt;0, T62/M62, 0)</f>
        <v>198</v>
      </c>
    </row>
    <row r="63" customFormat="false" ht="15" hidden="false" customHeight="true" outlineLevel="0" collapsed="false">
      <c r="A63" s="5" t="s">
        <v>283</v>
      </c>
      <c r="B63" s="5" t="s">
        <v>201</v>
      </c>
      <c r="C63" s="5" t="s">
        <v>283</v>
      </c>
      <c r="D63" s="5" t="n">
        <v>10</v>
      </c>
      <c r="E63" s="5" t="s">
        <v>114</v>
      </c>
      <c r="F63" s="5" t="n">
        <v>2</v>
      </c>
      <c r="G63" s="5" t="s">
        <v>142</v>
      </c>
      <c r="H63" s="5" t="n">
        <v>1</v>
      </c>
      <c r="I63" s="5"/>
      <c r="J63" s="5"/>
      <c r="K63" s="5"/>
      <c r="L63" s="5"/>
      <c r="M63" s="5" t="n">
        <v>2</v>
      </c>
      <c r="N63" s="11" t="n">
        <f aca="false">F63*38+H63*32</f>
        <v>108</v>
      </c>
      <c r="O63" s="11" t="n">
        <f aca="false">D63*52</f>
        <v>520</v>
      </c>
      <c r="P63" s="11" t="n">
        <f aca="false">O63-N63</f>
        <v>412</v>
      </c>
      <c r="Q63" s="11" t="n">
        <f aca="false">IF(M63&gt;0,P63/M63,0)</f>
        <v>206</v>
      </c>
      <c r="R63" s="12" t="n">
        <v>1.5</v>
      </c>
      <c r="S63" s="12" t="n">
        <f aca="false">FLOOR(1000/R63,1)</f>
        <v>666</v>
      </c>
      <c r="T63" s="12" t="n">
        <f aca="false">IF(D63&gt;0, (P63/D63)*S63, 0)</f>
        <v>27439.2</v>
      </c>
      <c r="U63" s="12" t="n">
        <f aca="false">IF(M63&gt;0, T63/M63, 0)</f>
        <v>13719.6</v>
      </c>
    </row>
    <row r="64" customFormat="false" ht="15" hidden="false" customHeight="true" outlineLevel="0" collapsed="false">
      <c r="A64" s="5" t="s">
        <v>286</v>
      </c>
      <c r="B64" s="5" t="s">
        <v>201</v>
      </c>
      <c r="C64" s="5" t="s">
        <v>286</v>
      </c>
      <c r="D64" s="5" t="n">
        <v>6</v>
      </c>
      <c r="E64" s="5" t="s">
        <v>133</v>
      </c>
      <c r="F64" s="5" t="n">
        <v>3</v>
      </c>
      <c r="G64" s="5" t="s">
        <v>264</v>
      </c>
      <c r="H64" s="5" t="n">
        <v>2</v>
      </c>
      <c r="I64" s="5"/>
      <c r="J64" s="5"/>
      <c r="K64" s="5"/>
      <c r="L64" s="5"/>
      <c r="M64" s="5" t="n">
        <v>4</v>
      </c>
      <c r="N64" s="11" t="n">
        <f aca="false">F64*25+H64*62</f>
        <v>199</v>
      </c>
      <c r="O64" s="11" t="n">
        <f aca="false">D64*78</f>
        <v>468</v>
      </c>
      <c r="P64" s="11" t="n">
        <f aca="false">O64-N64</f>
        <v>269</v>
      </c>
      <c r="Q64" s="11" t="n">
        <f aca="false">IF(M64&gt;0,P64/M64,0)</f>
        <v>67.25</v>
      </c>
      <c r="R64" s="12" t="n">
        <v>2</v>
      </c>
      <c r="S64" s="12" t="n">
        <f aca="false">FLOOR(1000/R64,1)</f>
        <v>500</v>
      </c>
      <c r="T64" s="12" t="n">
        <f aca="false">IF(D64&gt;0, (P64/D64)*S64, 0)</f>
        <v>22416.6666666667</v>
      </c>
      <c r="U64" s="12" t="n">
        <f aca="false">IF(M64&gt;0, T64/M64, 0)</f>
        <v>5604.16666666667</v>
      </c>
    </row>
    <row r="65" customFormat="false" ht="15" hidden="false" customHeight="true" outlineLevel="0" collapsed="false">
      <c r="A65" s="5" t="s">
        <v>289</v>
      </c>
      <c r="B65" s="5" t="s">
        <v>201</v>
      </c>
      <c r="C65" s="5" t="s">
        <v>289</v>
      </c>
      <c r="D65" s="5" t="n">
        <v>8</v>
      </c>
      <c r="E65" s="5" t="s">
        <v>139</v>
      </c>
      <c r="F65" s="5" t="n">
        <v>3</v>
      </c>
      <c r="G65" s="5" t="s">
        <v>250</v>
      </c>
      <c r="H65" s="5" t="n">
        <v>1</v>
      </c>
      <c r="I65" s="5"/>
      <c r="J65" s="5"/>
      <c r="K65" s="5"/>
      <c r="L65" s="5"/>
      <c r="M65" s="5" t="n">
        <v>2</v>
      </c>
      <c r="N65" s="11" t="n">
        <f aca="false">F65*22+H65*68</f>
        <v>134</v>
      </c>
      <c r="O65" s="11" t="n">
        <f aca="false">D65*38</f>
        <v>304</v>
      </c>
      <c r="P65" s="11" t="n">
        <f aca="false">O65-N65</f>
        <v>170</v>
      </c>
      <c r="Q65" s="11" t="n">
        <f aca="false">IF(M65&gt;0,P65/M65,0)</f>
        <v>85</v>
      </c>
      <c r="R65" s="12" t="n">
        <v>4</v>
      </c>
      <c r="S65" s="12" t="n">
        <f aca="false">FLOOR(1000/R65,1)</f>
        <v>250</v>
      </c>
      <c r="T65" s="12" t="n">
        <f aca="false">IF(D65&gt;0, (P65/D65)*S65, 0)</f>
        <v>5312.5</v>
      </c>
      <c r="U65" s="12" t="n">
        <f aca="false">IF(M65&gt;0, T65/M65, 0)</f>
        <v>2656.25</v>
      </c>
    </row>
    <row r="66" customFormat="false" ht="15" hidden="false" customHeight="true" outlineLevel="0" collapsed="false">
      <c r="A66" s="5" t="s">
        <v>291</v>
      </c>
      <c r="B66" s="5" t="s">
        <v>201</v>
      </c>
      <c r="C66" s="5" t="s">
        <v>291</v>
      </c>
      <c r="D66" s="5" t="n">
        <v>10</v>
      </c>
      <c r="E66" s="5" t="s">
        <v>74</v>
      </c>
      <c r="F66" s="5" t="n">
        <v>3</v>
      </c>
      <c r="G66" s="5" t="s">
        <v>76</v>
      </c>
      <c r="H66" s="5" t="n">
        <v>2</v>
      </c>
      <c r="I66" s="5"/>
      <c r="J66" s="5"/>
      <c r="K66" s="5"/>
      <c r="L66" s="5"/>
      <c r="M66" s="5" t="n">
        <v>3</v>
      </c>
      <c r="N66" s="11" t="n">
        <f aca="false">F66*4+H66*3</f>
        <v>18</v>
      </c>
      <c r="O66" s="11" t="n">
        <f aca="false">D66*42</f>
        <v>420</v>
      </c>
      <c r="P66" s="11" t="n">
        <f aca="false">O66-N66</f>
        <v>402</v>
      </c>
      <c r="Q66" s="11" t="n">
        <f aca="false">IF(M66&gt;0,P66/M66,0)</f>
        <v>134</v>
      </c>
      <c r="R66" s="12" t="n">
        <v>5</v>
      </c>
      <c r="S66" s="12" t="n">
        <f aca="false">FLOOR(1000/R66,1)</f>
        <v>200</v>
      </c>
      <c r="T66" s="12" t="n">
        <f aca="false">IF(D66&gt;0, (P66/D66)*S66, 0)</f>
        <v>8040</v>
      </c>
      <c r="U66" s="12" t="n">
        <f aca="false">IF(M66&gt;0, T66/M66, 0)</f>
        <v>2680</v>
      </c>
    </row>
    <row r="67" customFormat="false" ht="15" hidden="false" customHeight="true" outlineLevel="0" collapsed="false">
      <c r="A67" s="5" t="s">
        <v>293</v>
      </c>
      <c r="B67" s="5" t="s">
        <v>201</v>
      </c>
      <c r="C67" s="5" t="s">
        <v>293</v>
      </c>
      <c r="D67" s="5" t="n">
        <v>12</v>
      </c>
      <c r="E67" s="5" t="s">
        <v>142</v>
      </c>
      <c r="F67" s="5" t="n">
        <v>2</v>
      </c>
      <c r="G67" s="5" t="s">
        <v>194</v>
      </c>
      <c r="H67" s="5" t="n">
        <v>1</v>
      </c>
      <c r="I67" s="5"/>
      <c r="J67" s="5"/>
      <c r="K67" s="5"/>
      <c r="L67" s="5"/>
      <c r="M67" s="5" t="n">
        <v>2</v>
      </c>
      <c r="N67" s="11" t="n">
        <f aca="false">F67*32+H67*40</f>
        <v>104</v>
      </c>
      <c r="O67" s="11" t="n">
        <f aca="false">D67*45</f>
        <v>540</v>
      </c>
      <c r="P67" s="11" t="n">
        <f aca="false">O67-N67</f>
        <v>436</v>
      </c>
      <c r="Q67" s="11" t="n">
        <f aca="false">IF(M67&gt;0,P67/M67,0)</f>
        <v>218</v>
      </c>
      <c r="R67" s="12" t="n">
        <v>0.8</v>
      </c>
      <c r="S67" s="12" t="n">
        <f aca="false">FLOOR(1000/R67,1)</f>
        <v>1250</v>
      </c>
      <c r="T67" s="12" t="n">
        <f aca="false">IF(D67&gt;0, (P67/D67)*S67, 0)</f>
        <v>45416.6666666667</v>
      </c>
      <c r="U67" s="12" t="n">
        <f aca="false">IF(M67&gt;0, T67/M67, 0)</f>
        <v>22708.3333333333</v>
      </c>
    </row>
    <row r="68" customFormat="false" ht="15" hidden="false" customHeight="true" outlineLevel="0" collapsed="false">
      <c r="A68" s="5" t="s">
        <v>296</v>
      </c>
      <c r="B68" s="5" t="s">
        <v>201</v>
      </c>
      <c r="C68" s="5" t="s">
        <v>296</v>
      </c>
      <c r="D68" s="5" t="n">
        <v>20</v>
      </c>
      <c r="E68" s="5" t="s">
        <v>117</v>
      </c>
      <c r="F68" s="5" t="n">
        <v>2</v>
      </c>
      <c r="G68" s="5" t="s">
        <v>49</v>
      </c>
      <c r="H68" s="5" t="n">
        <v>1</v>
      </c>
      <c r="I68" s="5"/>
      <c r="J68" s="5"/>
      <c r="K68" s="5"/>
      <c r="L68" s="5"/>
      <c r="M68" s="5" t="n">
        <v>1.5</v>
      </c>
      <c r="N68" s="11" t="n">
        <f aca="false">F68*45+H68*10</f>
        <v>100</v>
      </c>
      <c r="O68" s="11" t="n">
        <f aca="false">D68*28</f>
        <v>560</v>
      </c>
      <c r="P68" s="11" t="n">
        <f aca="false">O68-N68</f>
        <v>460</v>
      </c>
      <c r="Q68" s="11" t="n">
        <f aca="false">IF(M68&gt;0,P68/M68,0)</f>
        <v>306.666666666667</v>
      </c>
      <c r="R68" s="12" t="n">
        <v>2</v>
      </c>
      <c r="S68" s="12" t="n">
        <f aca="false">FLOOR(1000/R68,1)</f>
        <v>500</v>
      </c>
      <c r="T68" s="12" t="n">
        <f aca="false">IF(D68&gt;0, (P68/D68)*S68, 0)</f>
        <v>11500</v>
      </c>
      <c r="U68" s="12" t="n">
        <f aca="false">IF(M68&gt;0, T68/M68, 0)</f>
        <v>7666.66666666667</v>
      </c>
    </row>
    <row r="69" customFormat="false" ht="15" hidden="false" customHeight="true" outlineLevel="0" collapsed="false">
      <c r="A69" s="5" t="s">
        <v>299</v>
      </c>
      <c r="B69" s="5" t="s">
        <v>201</v>
      </c>
      <c r="C69" s="5" t="s">
        <v>299</v>
      </c>
      <c r="D69" s="5" t="n">
        <v>6</v>
      </c>
      <c r="E69" s="5" t="s">
        <v>126</v>
      </c>
      <c r="F69" s="5" t="n">
        <v>3</v>
      </c>
      <c r="G69" s="5" t="s">
        <v>182</v>
      </c>
      <c r="H69" s="5" t="n">
        <v>2</v>
      </c>
      <c r="I69" s="5"/>
      <c r="J69" s="5"/>
      <c r="K69" s="5"/>
      <c r="L69" s="5"/>
      <c r="M69" s="5" t="n">
        <v>4</v>
      </c>
      <c r="N69" s="11" t="n">
        <f aca="false">F69*15+H69*28</f>
        <v>101</v>
      </c>
      <c r="O69" s="11" t="n">
        <f aca="false">D69*55</f>
        <v>330</v>
      </c>
      <c r="P69" s="11" t="n">
        <f aca="false">O69-N69</f>
        <v>229</v>
      </c>
      <c r="Q69" s="11" t="n">
        <f aca="false">IF(M69&gt;0,P69/M69,0)</f>
        <v>57.25</v>
      </c>
      <c r="R69" s="12" t="n">
        <v>8</v>
      </c>
      <c r="S69" s="12" t="n">
        <f aca="false">FLOOR(1000/R69,1)</f>
        <v>125</v>
      </c>
      <c r="T69" s="12" t="n">
        <f aca="false">IF(D69&gt;0, (P69/D69)*S69, 0)</f>
        <v>4770.83333333333</v>
      </c>
      <c r="U69" s="12" t="n">
        <f aca="false">IF(M69&gt;0, T69/M69, 0)</f>
        <v>1192.70833333333</v>
      </c>
    </row>
    <row r="70" customFormat="false" ht="15" hidden="false" customHeight="true" outlineLevel="0" collapsed="false">
      <c r="A70" s="5" t="s">
        <v>302</v>
      </c>
      <c r="B70" s="5" t="s">
        <v>201</v>
      </c>
      <c r="C70" s="5" t="s">
        <v>302</v>
      </c>
      <c r="D70" s="5" t="n">
        <v>10</v>
      </c>
      <c r="E70" s="5" t="s">
        <v>88</v>
      </c>
      <c r="F70" s="5" t="n">
        <v>3</v>
      </c>
      <c r="G70" s="5" t="s">
        <v>76</v>
      </c>
      <c r="H70" s="5" t="n">
        <v>2</v>
      </c>
      <c r="I70" s="5"/>
      <c r="J70" s="5"/>
      <c r="K70" s="5"/>
      <c r="L70" s="5"/>
      <c r="M70" s="5" t="n">
        <v>2</v>
      </c>
      <c r="N70" s="11" t="n">
        <f aca="false">F70*25+H70*3</f>
        <v>81</v>
      </c>
      <c r="O70" s="11" t="n">
        <f aca="false">D70*35</f>
        <v>350</v>
      </c>
      <c r="P70" s="11" t="n">
        <f aca="false">O70-N70</f>
        <v>269</v>
      </c>
      <c r="Q70" s="11" t="n">
        <f aca="false">IF(M70&gt;0,P70/M70,0)</f>
        <v>134.5</v>
      </c>
      <c r="R70" s="12" t="n">
        <v>10</v>
      </c>
      <c r="S70" s="12" t="n">
        <f aca="false">FLOOR(1000/R70,1)</f>
        <v>100</v>
      </c>
      <c r="T70" s="12" t="n">
        <f aca="false">IF(D70&gt;0, (P70/D70)*S70, 0)</f>
        <v>2690</v>
      </c>
      <c r="U70" s="12" t="n">
        <f aca="false">IF(M70&gt;0, T70/M70, 0)</f>
        <v>1345</v>
      </c>
    </row>
    <row r="71" customFormat="false" ht="15" hidden="false" customHeight="true" outlineLevel="0" collapsed="false">
      <c r="A71" s="5" t="s">
        <v>305</v>
      </c>
      <c r="B71" s="5" t="s">
        <v>201</v>
      </c>
      <c r="C71" s="5" t="s">
        <v>305</v>
      </c>
      <c r="D71" s="5" t="n">
        <v>5</v>
      </c>
      <c r="E71" s="5" t="s">
        <v>133</v>
      </c>
      <c r="F71" s="5" t="n">
        <v>3</v>
      </c>
      <c r="G71" s="5" t="s">
        <v>185</v>
      </c>
      <c r="H71" s="5" t="n">
        <v>1</v>
      </c>
      <c r="I71" s="5"/>
      <c r="J71" s="5"/>
      <c r="K71" s="5"/>
      <c r="L71" s="5"/>
      <c r="M71" s="5" t="n">
        <v>3</v>
      </c>
      <c r="N71" s="11" t="n">
        <f aca="false">F71*25+H71*55</f>
        <v>130</v>
      </c>
      <c r="O71" s="11" t="n">
        <f aca="false">D71*68</f>
        <v>340</v>
      </c>
      <c r="P71" s="11" t="n">
        <f aca="false">O71-N71</f>
        <v>210</v>
      </c>
      <c r="Q71" s="11" t="n">
        <f aca="false">IF(M71&gt;0,P71/M71,0)</f>
        <v>70</v>
      </c>
      <c r="R71" s="12" t="n">
        <v>5</v>
      </c>
      <c r="S71" s="12" t="n">
        <f aca="false">FLOOR(1000/R71,1)</f>
        <v>200</v>
      </c>
      <c r="T71" s="12" t="n">
        <f aca="false">IF(D71&gt;0, (P71/D71)*S71, 0)</f>
        <v>8400</v>
      </c>
      <c r="U71" s="12" t="n">
        <f aca="false">IF(M71&gt;0, T71/M71, 0)</f>
        <v>2800</v>
      </c>
    </row>
    <row r="72" customFormat="false" ht="15" hidden="false" customHeight="true" outlineLevel="0" collapsed="false">
      <c r="A72" s="5" t="s">
        <v>308</v>
      </c>
      <c r="B72" s="5" t="s">
        <v>201</v>
      </c>
      <c r="C72" s="5" t="s">
        <v>308</v>
      </c>
      <c r="D72" s="5" t="n">
        <v>8</v>
      </c>
      <c r="E72" s="5" t="s">
        <v>244</v>
      </c>
      <c r="F72" s="5" t="n">
        <v>2</v>
      </c>
      <c r="G72" s="5" t="s">
        <v>117</v>
      </c>
      <c r="H72" s="5" t="n">
        <v>1</v>
      </c>
      <c r="I72" s="5"/>
      <c r="J72" s="5"/>
      <c r="K72" s="5"/>
      <c r="L72" s="5"/>
      <c r="M72" s="5" t="n">
        <v>3</v>
      </c>
      <c r="N72" s="11" t="n">
        <f aca="false">F72*55+H72*45</f>
        <v>155</v>
      </c>
      <c r="O72" s="11" t="n">
        <f aca="false">D72*65</f>
        <v>520</v>
      </c>
      <c r="P72" s="11" t="n">
        <f aca="false">O72-N72</f>
        <v>365</v>
      </c>
      <c r="Q72" s="11" t="n">
        <f aca="false">IF(M72&gt;0,P72/M72,0)</f>
        <v>121.666666666667</v>
      </c>
      <c r="R72" s="12" t="n">
        <v>1</v>
      </c>
      <c r="S72" s="12" t="n">
        <f aca="false">FLOOR(1000/R72,1)</f>
        <v>1000</v>
      </c>
      <c r="T72" s="12" t="n">
        <f aca="false">IF(D72&gt;0, (P72/D72)*S72, 0)</f>
        <v>45625</v>
      </c>
      <c r="U72" s="12" t="n">
        <f aca="false">IF(M72&gt;0, T72/M72, 0)</f>
        <v>15208.3333333333</v>
      </c>
    </row>
    <row r="73" customFormat="false" ht="15" hidden="false" customHeight="true" outlineLevel="0" collapsed="false">
      <c r="A73" s="5" t="s">
        <v>310</v>
      </c>
      <c r="B73" s="5" t="s">
        <v>201</v>
      </c>
      <c r="C73" s="5" t="s">
        <v>310</v>
      </c>
      <c r="D73" s="5" t="n">
        <v>6</v>
      </c>
      <c r="E73" s="5" t="s">
        <v>167</v>
      </c>
      <c r="F73" s="5" t="n">
        <v>2</v>
      </c>
      <c r="G73" s="5" t="s">
        <v>31</v>
      </c>
      <c r="H73" s="5" t="n">
        <v>2</v>
      </c>
      <c r="I73" s="5"/>
      <c r="J73" s="5"/>
      <c r="K73" s="5"/>
      <c r="L73" s="5"/>
      <c r="M73" s="5" t="n">
        <v>4</v>
      </c>
      <c r="N73" s="11" t="n">
        <f aca="false">F73*30+H73*8</f>
        <v>76</v>
      </c>
      <c r="O73" s="11" t="n">
        <f aca="false">D73*72</f>
        <v>432</v>
      </c>
      <c r="P73" s="11" t="n">
        <f aca="false">O73-N73</f>
        <v>356</v>
      </c>
      <c r="Q73" s="11" t="n">
        <f aca="false">IF(M73&gt;0,P73/M73,0)</f>
        <v>89</v>
      </c>
      <c r="R73" s="12" t="n">
        <v>1.8</v>
      </c>
      <c r="S73" s="12" t="n">
        <f aca="false">FLOOR(1000/R73,1)</f>
        <v>555</v>
      </c>
      <c r="T73" s="12" t="n">
        <f aca="false">IF(D73&gt;0, (P73/D73)*S73, 0)</f>
        <v>32930</v>
      </c>
      <c r="U73" s="12" t="n">
        <f aca="false">IF(M73&gt;0, T73/M73, 0)</f>
        <v>8232.5</v>
      </c>
    </row>
    <row r="74" customFormat="false" ht="15" hidden="false" customHeight="true" outlineLevel="0" collapsed="false">
      <c r="A74" s="5" t="s">
        <v>313</v>
      </c>
      <c r="B74" s="5" t="s">
        <v>201</v>
      </c>
      <c r="C74" s="5" t="s">
        <v>313</v>
      </c>
      <c r="D74" s="5" t="n">
        <v>12</v>
      </c>
      <c r="E74" s="5" t="s">
        <v>22</v>
      </c>
      <c r="F74" s="5" t="n">
        <v>3</v>
      </c>
      <c r="G74" s="5" t="s">
        <v>42</v>
      </c>
      <c r="H74" s="5" t="n">
        <v>1</v>
      </c>
      <c r="I74" s="5"/>
      <c r="J74" s="5"/>
      <c r="K74" s="5"/>
      <c r="L74" s="5"/>
      <c r="M74" s="5" t="n">
        <v>1.5</v>
      </c>
      <c r="N74" s="11" t="n">
        <f aca="false">F74*6+H74*1</f>
        <v>19</v>
      </c>
      <c r="O74" s="11" t="n">
        <f aca="false">D74*30</f>
        <v>360</v>
      </c>
      <c r="P74" s="11" t="n">
        <f aca="false">O74-N74</f>
        <v>341</v>
      </c>
      <c r="Q74" s="11" t="n">
        <f aca="false">IF(M74&gt;0,P74/M74,0)</f>
        <v>227.333333333333</v>
      </c>
      <c r="R74" s="12" t="n">
        <v>1</v>
      </c>
      <c r="S74" s="12" t="n">
        <f aca="false">FLOOR(1000/R74,1)</f>
        <v>1000</v>
      </c>
      <c r="T74" s="12" t="n">
        <f aca="false">IF(D74&gt;0, (P74/D74)*S74, 0)</f>
        <v>28416.6666666667</v>
      </c>
      <c r="U74" s="12" t="n">
        <f aca="false">IF(M74&gt;0, T74/M74, 0)</f>
        <v>18944.4444444444</v>
      </c>
    </row>
    <row r="75" customFormat="false" ht="15" hidden="false" customHeight="true" outlineLevel="0" collapsed="false">
      <c r="A75" s="5" t="s">
        <v>316</v>
      </c>
      <c r="B75" s="5" t="s">
        <v>201</v>
      </c>
      <c r="C75" s="5" t="s">
        <v>316</v>
      </c>
      <c r="D75" s="5" t="n">
        <v>3</v>
      </c>
      <c r="E75" s="5" t="s">
        <v>222</v>
      </c>
      <c r="F75" s="5" t="n">
        <v>4</v>
      </c>
      <c r="G75" s="5" t="s">
        <v>80</v>
      </c>
      <c r="H75" s="5" t="n">
        <v>1</v>
      </c>
      <c r="I75" s="5"/>
      <c r="J75" s="5"/>
      <c r="K75" s="5"/>
      <c r="L75" s="5"/>
      <c r="M75" s="5" t="n">
        <v>10</v>
      </c>
      <c r="N75" s="11" t="n">
        <f aca="false">F75*65+H75*5</f>
        <v>265</v>
      </c>
      <c r="O75" s="11" t="n">
        <f aca="false">D75*95</f>
        <v>285</v>
      </c>
      <c r="P75" s="11" t="n">
        <f aca="false">O75-N75</f>
        <v>20</v>
      </c>
      <c r="Q75" s="11" t="n">
        <f aca="false">IF(M75&gt;0,P75/M75,0)</f>
        <v>2</v>
      </c>
      <c r="R75" s="12" t="n">
        <v>3</v>
      </c>
      <c r="S75" s="12" t="n">
        <f aca="false">FLOOR(1000/R75,1)</f>
        <v>333</v>
      </c>
      <c r="T75" s="12" t="n">
        <f aca="false">IF(D75&gt;0, (P75/D75)*S75, 0)</f>
        <v>2220</v>
      </c>
      <c r="U75" s="12" t="n">
        <f aca="false">IF(M75&gt;0, T75/M75, 0)</f>
        <v>222</v>
      </c>
    </row>
    <row r="76" customFormat="false" ht="15" hidden="false" customHeight="true" outlineLevel="0" collapsed="false">
      <c r="A76" s="5" t="s">
        <v>319</v>
      </c>
      <c r="B76" s="5" t="s">
        <v>201</v>
      </c>
      <c r="C76" s="5" t="s">
        <v>319</v>
      </c>
      <c r="D76" s="5" t="n">
        <v>10</v>
      </c>
      <c r="E76" s="5" t="s">
        <v>34</v>
      </c>
      <c r="F76" s="5" t="n">
        <v>3</v>
      </c>
      <c r="G76" s="5" t="s">
        <v>80</v>
      </c>
      <c r="H76" s="5" t="n">
        <v>1</v>
      </c>
      <c r="I76" s="5"/>
      <c r="J76" s="5"/>
      <c r="K76" s="5"/>
      <c r="L76" s="5"/>
      <c r="M76" s="5" t="n">
        <v>2</v>
      </c>
      <c r="N76" s="11" t="n">
        <f aca="false">F76*10+H76*5</f>
        <v>35</v>
      </c>
      <c r="O76" s="11" t="n">
        <f aca="false">D76*55</f>
        <v>550</v>
      </c>
      <c r="P76" s="11" t="n">
        <f aca="false">O76-N76</f>
        <v>515</v>
      </c>
      <c r="Q76" s="11" t="n">
        <f aca="false">IF(M76&gt;0,P76/M76,0)</f>
        <v>257.5</v>
      </c>
      <c r="R76" s="12" t="n">
        <v>0.6</v>
      </c>
      <c r="S76" s="12" t="n">
        <f aca="false">FLOOR(1000/R76,1)</f>
        <v>1666</v>
      </c>
      <c r="T76" s="12" t="n">
        <f aca="false">IF(D76&gt;0, (P76/D76)*S76, 0)</f>
        <v>85799</v>
      </c>
      <c r="U76" s="12" t="n">
        <f aca="false">IF(M76&gt;0, T76/M76, 0)</f>
        <v>42899.5</v>
      </c>
    </row>
    <row r="77" customFormat="false" ht="15" hidden="false" customHeight="true" outlineLevel="0" collapsed="false">
      <c r="A77" s="5" t="s">
        <v>322</v>
      </c>
      <c r="B77" s="5" t="s">
        <v>201</v>
      </c>
      <c r="C77" s="5" t="s">
        <v>322</v>
      </c>
      <c r="D77" s="5" t="n">
        <v>4</v>
      </c>
      <c r="E77" s="5" t="s">
        <v>236</v>
      </c>
      <c r="F77" s="5" t="n">
        <v>2</v>
      </c>
      <c r="G77" s="5" t="s">
        <v>172</v>
      </c>
      <c r="H77" s="5" t="n">
        <v>1</v>
      </c>
      <c r="I77" s="5"/>
      <c r="J77" s="5"/>
      <c r="K77" s="5"/>
      <c r="L77" s="5"/>
      <c r="M77" s="5" t="n">
        <v>4</v>
      </c>
      <c r="N77" s="11" t="n">
        <f aca="false">F77*38+H77*120</f>
        <v>196</v>
      </c>
      <c r="O77" s="11" t="n">
        <f aca="false">D77*145</f>
        <v>580</v>
      </c>
      <c r="P77" s="11" t="n">
        <f aca="false">O77-N77</f>
        <v>384</v>
      </c>
      <c r="Q77" s="11" t="n">
        <f aca="false">IF(M77&gt;0,P77/M77,0)</f>
        <v>96</v>
      </c>
      <c r="R77" s="12" t="n">
        <v>1</v>
      </c>
      <c r="S77" s="12" t="n">
        <f aca="false">FLOOR(1000/R77,1)</f>
        <v>1000</v>
      </c>
      <c r="T77" s="12" t="n">
        <f aca="false">IF(D77&gt;0, (P77/D77)*S77, 0)</f>
        <v>96000</v>
      </c>
      <c r="U77" s="12" t="n">
        <f aca="false">IF(M77&gt;0, T77/M77, 0)</f>
        <v>24000</v>
      </c>
    </row>
    <row r="78" customFormat="false" ht="15" hidden="false" customHeight="true" outlineLevel="0" collapsed="false">
      <c r="A78" s="5" t="s">
        <v>325</v>
      </c>
      <c r="B78" s="5" t="s">
        <v>201</v>
      </c>
      <c r="C78" s="5" t="s">
        <v>325</v>
      </c>
      <c r="D78" s="5" t="n">
        <v>6</v>
      </c>
      <c r="E78" s="5" t="s">
        <v>88</v>
      </c>
      <c r="F78" s="5" t="n">
        <v>2</v>
      </c>
      <c r="G78" s="5" t="s">
        <v>194</v>
      </c>
      <c r="H78" s="5" t="n">
        <v>1</v>
      </c>
      <c r="I78" s="5"/>
      <c r="J78" s="5"/>
      <c r="K78" s="5"/>
      <c r="L78" s="5"/>
      <c r="M78" s="5" t="n">
        <v>3</v>
      </c>
      <c r="N78" s="11" t="n">
        <f aca="false">F78*25+H78*40</f>
        <v>90</v>
      </c>
      <c r="O78" s="11" t="n">
        <f aca="false">D78*75</f>
        <v>450</v>
      </c>
      <c r="P78" s="11" t="n">
        <f aca="false">O78-N78</f>
        <v>360</v>
      </c>
      <c r="Q78" s="11" t="n">
        <f aca="false">IF(M78&gt;0,P78/M78,0)</f>
        <v>120</v>
      </c>
      <c r="R78" s="12" t="n">
        <v>3</v>
      </c>
      <c r="S78" s="12" t="n">
        <f aca="false">FLOOR(1000/R78,1)</f>
        <v>333</v>
      </c>
      <c r="T78" s="12" t="n">
        <f aca="false">IF(D78&gt;0, (P78/D78)*S78, 0)</f>
        <v>19980</v>
      </c>
      <c r="U78" s="12" t="n">
        <f aca="false">IF(M78&gt;0, T78/M78, 0)</f>
        <v>6660</v>
      </c>
    </row>
    <row r="79" customFormat="false" ht="15" hidden="false" customHeight="true" outlineLevel="0" collapsed="false">
      <c r="A79" s="5" t="s">
        <v>328</v>
      </c>
      <c r="B79" s="5" t="s">
        <v>201</v>
      </c>
      <c r="C79" s="5" t="s">
        <v>328</v>
      </c>
      <c r="D79" s="5" t="n">
        <v>8</v>
      </c>
      <c r="E79" s="5" t="s">
        <v>78</v>
      </c>
      <c r="F79" s="5" t="n">
        <v>3</v>
      </c>
      <c r="G79" s="5" t="s">
        <v>49</v>
      </c>
      <c r="H79" s="5" t="n">
        <v>1</v>
      </c>
      <c r="I79" s="5"/>
      <c r="J79" s="5"/>
      <c r="K79" s="5"/>
      <c r="L79" s="5"/>
      <c r="M79" s="5" t="n">
        <v>3</v>
      </c>
      <c r="N79" s="11" t="n">
        <f aca="false">F79*20+H79*10</f>
        <v>70</v>
      </c>
      <c r="O79" s="11" t="n">
        <f aca="false">D79*58</f>
        <v>464</v>
      </c>
      <c r="P79" s="11" t="n">
        <f aca="false">O79-N79</f>
        <v>394</v>
      </c>
      <c r="Q79" s="11" t="n">
        <f aca="false">IF(M79&gt;0,P79/M79,0)</f>
        <v>131.333333333333</v>
      </c>
      <c r="R79" s="12" t="n">
        <v>1.5</v>
      </c>
      <c r="S79" s="12" t="n">
        <f aca="false">FLOOR(1000/R79,1)</f>
        <v>666</v>
      </c>
      <c r="T79" s="12" t="n">
        <f aca="false">IF(D79&gt;0, (P79/D79)*S79, 0)</f>
        <v>32800.5</v>
      </c>
      <c r="U79" s="12" t="n">
        <f aca="false">IF(M79&gt;0, T79/M79, 0)</f>
        <v>10933.5</v>
      </c>
    </row>
    <row r="80" customFormat="false" ht="15" hidden="false" customHeight="true" outlineLevel="0" collapsed="false">
      <c r="A80" s="5" t="s">
        <v>330</v>
      </c>
      <c r="B80" s="5" t="s">
        <v>201</v>
      </c>
      <c r="C80" s="5" t="s">
        <v>330</v>
      </c>
      <c r="D80" s="5" t="n">
        <v>10</v>
      </c>
      <c r="E80" s="5" t="s">
        <v>36</v>
      </c>
      <c r="F80" s="5" t="n">
        <v>2</v>
      </c>
      <c r="G80" s="5" t="s">
        <v>194</v>
      </c>
      <c r="H80" s="5" t="n">
        <v>1</v>
      </c>
      <c r="I80" s="5"/>
      <c r="J80" s="5"/>
      <c r="K80" s="5"/>
      <c r="L80" s="5"/>
      <c r="M80" s="5" t="n">
        <v>2</v>
      </c>
      <c r="N80" s="11" t="n">
        <f aca="false">F80*15+H80*40</f>
        <v>70</v>
      </c>
      <c r="O80" s="11" t="n">
        <f aca="false">D80*48</f>
        <v>480</v>
      </c>
      <c r="P80" s="11" t="n">
        <f aca="false">O80-N80</f>
        <v>410</v>
      </c>
      <c r="Q80" s="11" t="n">
        <f aca="false">IF(M80&gt;0,P80/M80,0)</f>
        <v>205</v>
      </c>
      <c r="R80" s="12" t="n">
        <v>1</v>
      </c>
      <c r="S80" s="12" t="n">
        <f aca="false">FLOOR(1000/R80,1)</f>
        <v>1000</v>
      </c>
      <c r="T80" s="12" t="n">
        <f aca="false">IF(D80&gt;0, (P80/D80)*S80, 0)</f>
        <v>41000</v>
      </c>
      <c r="U80" s="12" t="n">
        <f aca="false">IF(M80&gt;0, T80/M80, 0)</f>
        <v>20500</v>
      </c>
    </row>
    <row r="81" customFormat="false" ht="15" hidden="false" customHeight="true" outlineLevel="0" collapsed="false">
      <c r="A81" s="5" t="s">
        <v>333</v>
      </c>
      <c r="B81" s="5" t="s">
        <v>201</v>
      </c>
      <c r="C81" s="5" t="s">
        <v>333</v>
      </c>
      <c r="D81" s="5" t="n">
        <v>3</v>
      </c>
      <c r="E81" s="5" t="s">
        <v>114</v>
      </c>
      <c r="F81" s="5" t="n">
        <v>2</v>
      </c>
      <c r="G81" s="5" t="s">
        <v>194</v>
      </c>
      <c r="H81" s="5" t="n">
        <v>1</v>
      </c>
      <c r="I81" s="5"/>
      <c r="J81" s="5"/>
      <c r="K81" s="5"/>
      <c r="L81" s="5"/>
      <c r="M81" s="5" t="n">
        <v>6</v>
      </c>
      <c r="N81" s="11" t="n">
        <f aca="false">F81*38+H81*40</f>
        <v>116</v>
      </c>
      <c r="O81" s="11" t="n">
        <f aca="false">D81*125</f>
        <v>375</v>
      </c>
      <c r="P81" s="11" t="n">
        <f aca="false">O81-N81</f>
        <v>259</v>
      </c>
      <c r="Q81" s="11" t="n">
        <f aca="false">IF(M81&gt;0,P81/M81,0)</f>
        <v>43.1666666666667</v>
      </c>
      <c r="R81" s="12" t="n">
        <v>2.5</v>
      </c>
      <c r="S81" s="12" t="n">
        <f aca="false">FLOOR(1000/R81,1)</f>
        <v>400</v>
      </c>
      <c r="T81" s="12" t="n">
        <f aca="false">IF(D81&gt;0, (P81/D81)*S81, 0)</f>
        <v>34533.3333333333</v>
      </c>
      <c r="U81" s="12" t="n">
        <f aca="false">IF(M81&gt;0, T81/M81, 0)</f>
        <v>5755.55555555556</v>
      </c>
    </row>
    <row r="82" customFormat="false" ht="15" hidden="false" customHeight="true" outlineLevel="0" collapsed="false">
      <c r="A82" s="6" t="s">
        <v>336</v>
      </c>
      <c r="B82" s="6" t="s">
        <v>337</v>
      </c>
      <c r="C82" s="6" t="s">
        <v>336</v>
      </c>
      <c r="D82" s="6" t="n">
        <v>4</v>
      </c>
      <c r="E82" s="6" t="s">
        <v>280</v>
      </c>
      <c r="F82" s="6" t="n">
        <v>2</v>
      </c>
      <c r="G82" s="6" t="s">
        <v>220</v>
      </c>
      <c r="H82" s="6" t="n">
        <v>2</v>
      </c>
      <c r="I82" s="6" t="s">
        <v>250</v>
      </c>
      <c r="J82" s="6" t="n">
        <v>1</v>
      </c>
      <c r="K82" s="6"/>
      <c r="L82" s="6"/>
      <c r="M82" s="6" t="n">
        <v>6</v>
      </c>
      <c r="N82" s="13" t="n">
        <f aca="false">F82*120+H82*58+J82*68</f>
        <v>424</v>
      </c>
      <c r="O82" s="13" t="n">
        <f aca="false">D82*180</f>
        <v>720</v>
      </c>
      <c r="P82" s="13" t="n">
        <f aca="false">O82-N82</f>
        <v>296</v>
      </c>
      <c r="Q82" s="13" t="n">
        <f aca="false">IF(M82&gt;0,P82/M82,0)</f>
        <v>49.3333333333333</v>
      </c>
      <c r="R82" s="14" t="n">
        <v>12</v>
      </c>
      <c r="S82" s="14" t="n">
        <f aca="false">FLOOR(1000/R82,1)</f>
        <v>83</v>
      </c>
      <c r="T82" s="14" t="n">
        <f aca="false">IF(D82&gt;0, (P82/D82)*S82, 0)</f>
        <v>6142</v>
      </c>
      <c r="U82" s="14" t="n">
        <f aca="false">IF(M82&gt;0, T82/M82, 0)</f>
        <v>1023.66666666667</v>
      </c>
    </row>
    <row r="83" customFormat="false" ht="15" hidden="false" customHeight="true" outlineLevel="0" collapsed="false">
      <c r="A83" s="6" t="s">
        <v>340</v>
      </c>
      <c r="B83" s="6" t="s">
        <v>337</v>
      </c>
      <c r="C83" s="6" t="s">
        <v>340</v>
      </c>
      <c r="D83" s="6" t="n">
        <v>4</v>
      </c>
      <c r="E83" s="6" t="s">
        <v>289</v>
      </c>
      <c r="F83" s="6" t="n">
        <v>2</v>
      </c>
      <c r="G83" s="6" t="s">
        <v>220</v>
      </c>
      <c r="H83" s="6" t="n">
        <v>2</v>
      </c>
      <c r="I83" s="6" t="s">
        <v>261</v>
      </c>
      <c r="J83" s="6" t="n">
        <v>1</v>
      </c>
      <c r="K83" s="6"/>
      <c r="L83" s="6"/>
      <c r="M83" s="6" t="n">
        <v>5</v>
      </c>
      <c r="N83" s="13" t="n">
        <f aca="false">F83*38+H83*58+J83*52</f>
        <v>244</v>
      </c>
      <c r="O83" s="13" t="n">
        <f aca="false">D83*155</f>
        <v>620</v>
      </c>
      <c r="P83" s="13" t="n">
        <f aca="false">O83-N83</f>
        <v>376</v>
      </c>
      <c r="Q83" s="13" t="n">
        <f aca="false">IF(M83&gt;0,P83/M83,0)</f>
        <v>75.2</v>
      </c>
      <c r="R83" s="14" t="n">
        <v>10</v>
      </c>
      <c r="S83" s="14" t="n">
        <f aca="false">FLOOR(1000/R83,1)</f>
        <v>100</v>
      </c>
      <c r="T83" s="14" t="n">
        <f aca="false">IF(D83&gt;0, (P83/D83)*S83, 0)</f>
        <v>9400</v>
      </c>
      <c r="U83" s="14" t="n">
        <f aca="false">IF(M83&gt;0, T83/M83, 0)</f>
        <v>1880</v>
      </c>
    </row>
    <row r="84" customFormat="false" ht="15" hidden="false" customHeight="true" outlineLevel="0" collapsed="false">
      <c r="A84" s="6" t="s">
        <v>342</v>
      </c>
      <c r="B84" s="6" t="s">
        <v>337</v>
      </c>
      <c r="C84" s="6" t="s">
        <v>342</v>
      </c>
      <c r="D84" s="6" t="n">
        <v>2</v>
      </c>
      <c r="E84" s="6" t="s">
        <v>211</v>
      </c>
      <c r="F84" s="6" t="n">
        <v>2</v>
      </c>
      <c r="G84" s="6" t="s">
        <v>205</v>
      </c>
      <c r="H84" s="6" t="n">
        <v>1</v>
      </c>
      <c r="I84" s="6" t="s">
        <v>368</v>
      </c>
      <c r="J84" s="6" t="n">
        <v>1</v>
      </c>
      <c r="K84" s="6"/>
      <c r="L84" s="6"/>
      <c r="M84" s="6" t="n">
        <v>8</v>
      </c>
      <c r="N84" s="13" t="n">
        <f aca="false">F84*320+H84*95+J84*380</f>
        <v>1115</v>
      </c>
      <c r="O84" s="13" t="n">
        <f aca="false">D84*420</f>
        <v>840</v>
      </c>
      <c r="P84" s="13" t="n">
        <f aca="false">O84-N84</f>
        <v>-275</v>
      </c>
      <c r="Q84" s="13" t="n">
        <f aca="false">IF(M84&gt;0,P84/M84,0)</f>
        <v>-34.375</v>
      </c>
      <c r="R84" s="14" t="n">
        <v>8</v>
      </c>
      <c r="S84" s="14" t="n">
        <f aca="false">FLOOR(1000/R84,1)</f>
        <v>125</v>
      </c>
      <c r="T84" s="14" t="n">
        <f aca="false">IF(D84&gt;0, (P84/D84)*S84, 0)</f>
        <v>-17187.5</v>
      </c>
      <c r="U84" s="14" t="n">
        <f aca="false">IF(M84&gt;0, T84/M84, 0)</f>
        <v>-2148.4375</v>
      </c>
    </row>
    <row r="85" customFormat="false" ht="15" hidden="false" customHeight="true" outlineLevel="0" collapsed="false">
      <c r="A85" s="6" t="s">
        <v>345</v>
      </c>
      <c r="B85" s="6" t="s">
        <v>337</v>
      </c>
      <c r="C85" s="6" t="s">
        <v>345</v>
      </c>
      <c r="D85" s="6" t="n">
        <v>3</v>
      </c>
      <c r="E85" s="6" t="s">
        <v>208</v>
      </c>
      <c r="F85" s="6" t="n">
        <v>2</v>
      </c>
      <c r="G85" s="6" t="s">
        <v>325</v>
      </c>
      <c r="H85" s="6" t="n">
        <v>1</v>
      </c>
      <c r="I85" s="6" t="s">
        <v>293</v>
      </c>
      <c r="J85" s="6" t="n">
        <v>1</v>
      </c>
      <c r="K85" s="6"/>
      <c r="L85" s="6"/>
      <c r="M85" s="6" t="n">
        <v>6</v>
      </c>
      <c r="N85" s="13" t="n">
        <f aca="false">F85*82+H85*75+J85*45</f>
        <v>284</v>
      </c>
      <c r="O85" s="13" t="n">
        <f aca="false">D85*280</f>
        <v>840</v>
      </c>
      <c r="P85" s="13" t="n">
        <f aca="false">O85-N85</f>
        <v>556</v>
      </c>
      <c r="Q85" s="13" t="n">
        <f aca="false">IF(M85&gt;0,P85/M85,0)</f>
        <v>92.6666666666667</v>
      </c>
      <c r="R85" s="14" t="n">
        <v>6</v>
      </c>
      <c r="S85" s="14" t="n">
        <f aca="false">FLOOR(1000/R85,1)</f>
        <v>166</v>
      </c>
      <c r="T85" s="14" t="n">
        <f aca="false">IF(D85&gt;0, (P85/D85)*S85, 0)</f>
        <v>30765.3333333333</v>
      </c>
      <c r="U85" s="14" t="n">
        <f aca="false">IF(M85&gt;0, T85/M85, 0)</f>
        <v>5127.55555555556</v>
      </c>
    </row>
    <row r="86" customFormat="false" ht="15" hidden="false" customHeight="true" outlineLevel="0" collapsed="false">
      <c r="A86" s="6" t="s">
        <v>349</v>
      </c>
      <c r="B86" s="6" t="s">
        <v>337</v>
      </c>
      <c r="C86" s="6" t="s">
        <v>349</v>
      </c>
      <c r="D86" s="6" t="n">
        <v>2</v>
      </c>
      <c r="E86" s="6" t="s">
        <v>283</v>
      </c>
      <c r="F86" s="6" t="n">
        <v>2</v>
      </c>
      <c r="G86" s="6" t="s">
        <v>117</v>
      </c>
      <c r="H86" s="6" t="n">
        <v>1</v>
      </c>
      <c r="I86" s="6" t="s">
        <v>62</v>
      </c>
      <c r="J86" s="6" t="n">
        <v>1</v>
      </c>
      <c r="K86" s="6"/>
      <c r="L86" s="6"/>
      <c r="M86" s="6" t="n">
        <v>8</v>
      </c>
      <c r="N86" s="13" t="n">
        <f aca="false">F86*52+H86*45+J86*80</f>
        <v>229</v>
      </c>
      <c r="O86" s="13" t="n">
        <f aca="false">D86*350</f>
        <v>700</v>
      </c>
      <c r="P86" s="13" t="n">
        <f aca="false">O86-N86</f>
        <v>471</v>
      </c>
      <c r="Q86" s="13" t="n">
        <f aca="false">IF(M86&gt;0,P86/M86,0)</f>
        <v>58.875</v>
      </c>
      <c r="R86" s="14" t="n">
        <v>8</v>
      </c>
      <c r="S86" s="14" t="n">
        <f aca="false">FLOOR(1000/R86,1)</f>
        <v>125</v>
      </c>
      <c r="T86" s="14" t="n">
        <f aca="false">IF(D86&gt;0, (P86/D86)*S86, 0)</f>
        <v>29437.5</v>
      </c>
      <c r="U86" s="14" t="n">
        <f aca="false">IF(M86&gt;0, T86/M86, 0)</f>
        <v>3679.6875</v>
      </c>
    </row>
    <row r="87" customFormat="false" ht="15" hidden="false" customHeight="true" outlineLevel="0" collapsed="false">
      <c r="A87" s="6" t="s">
        <v>352</v>
      </c>
      <c r="B87" s="6" t="s">
        <v>337</v>
      </c>
      <c r="C87" s="6" t="s">
        <v>352</v>
      </c>
      <c r="D87" s="6" t="n">
        <v>3</v>
      </c>
      <c r="E87" s="6" t="s">
        <v>273</v>
      </c>
      <c r="F87" s="6" t="n">
        <v>1</v>
      </c>
      <c r="G87" s="6" t="s">
        <v>123</v>
      </c>
      <c r="H87" s="6" t="n">
        <v>1</v>
      </c>
      <c r="I87" s="6" t="s">
        <v>283</v>
      </c>
      <c r="J87" s="6" t="n">
        <v>1</v>
      </c>
      <c r="K87" s="6"/>
      <c r="L87" s="6"/>
      <c r="M87" s="6" t="n">
        <v>10</v>
      </c>
      <c r="N87" s="13" t="n">
        <f aca="false">F87*185+H87*90+J87*52</f>
        <v>327</v>
      </c>
      <c r="O87" s="13" t="n">
        <f aca="false">D87*290</f>
        <v>870</v>
      </c>
      <c r="P87" s="13" t="n">
        <f aca="false">O87-N87</f>
        <v>543</v>
      </c>
      <c r="Q87" s="13" t="n">
        <f aca="false">IF(M87&gt;0,P87/M87,0)</f>
        <v>54.3</v>
      </c>
      <c r="R87" s="14" t="n">
        <v>1</v>
      </c>
      <c r="S87" s="14" t="n">
        <f aca="false">FLOOR(1000/R87,1)</f>
        <v>1000</v>
      </c>
      <c r="T87" s="14" t="n">
        <f aca="false">IF(D87&gt;0, (P87/D87)*S87, 0)</f>
        <v>181000</v>
      </c>
      <c r="U87" s="14" t="n">
        <f aca="false">IF(M87&gt;0, T87/M87, 0)</f>
        <v>18100</v>
      </c>
    </row>
    <row r="88" customFormat="false" ht="15" hidden="false" customHeight="true" outlineLevel="0" collapsed="false">
      <c r="A88" s="6" t="s">
        <v>354</v>
      </c>
      <c r="B88" s="6" t="s">
        <v>337</v>
      </c>
      <c r="C88" s="6" t="s">
        <v>354</v>
      </c>
      <c r="D88" s="6" t="n">
        <v>4</v>
      </c>
      <c r="E88" s="6" t="s">
        <v>333</v>
      </c>
      <c r="F88" s="6" t="n">
        <v>2</v>
      </c>
      <c r="G88" s="6" t="s">
        <v>283</v>
      </c>
      <c r="H88" s="6" t="n">
        <v>1</v>
      </c>
      <c r="I88" s="6" t="s">
        <v>273</v>
      </c>
      <c r="J88" s="6" t="n">
        <v>1</v>
      </c>
      <c r="K88" s="6"/>
      <c r="L88" s="6"/>
      <c r="M88" s="6" t="n">
        <v>5</v>
      </c>
      <c r="N88" s="13" t="n">
        <f aca="false">F88*125+H88*52+J88*185</f>
        <v>487</v>
      </c>
      <c r="O88" s="13" t="n">
        <f aca="false">D88*210</f>
        <v>840</v>
      </c>
      <c r="P88" s="13" t="n">
        <f aca="false">O88-N88</f>
        <v>353</v>
      </c>
      <c r="Q88" s="13" t="n">
        <f aca="false">IF(M88&gt;0,P88/M88,0)</f>
        <v>70.6</v>
      </c>
      <c r="R88" s="14" t="n">
        <v>3</v>
      </c>
      <c r="S88" s="14" t="n">
        <f aca="false">FLOOR(1000/R88,1)</f>
        <v>333</v>
      </c>
      <c r="T88" s="14" t="n">
        <f aca="false">IF(D88&gt;0, (P88/D88)*S88, 0)</f>
        <v>29387.25</v>
      </c>
      <c r="U88" s="14" t="n">
        <f aca="false">IF(M88&gt;0, T88/M88, 0)</f>
        <v>5877.45</v>
      </c>
    </row>
    <row r="89" customFormat="false" ht="15" hidden="false" customHeight="true" outlineLevel="0" collapsed="false">
      <c r="A89" s="6" t="s">
        <v>356</v>
      </c>
      <c r="B89" s="6" t="s">
        <v>337</v>
      </c>
      <c r="C89" s="6" t="s">
        <v>356</v>
      </c>
      <c r="D89" s="6" t="n">
        <v>6</v>
      </c>
      <c r="E89" s="6" t="s">
        <v>273</v>
      </c>
      <c r="F89" s="6" t="n">
        <v>1</v>
      </c>
      <c r="G89" s="6" t="s">
        <v>133</v>
      </c>
      <c r="H89" s="6" t="n">
        <v>1</v>
      </c>
      <c r="I89" s="6" t="s">
        <v>62</v>
      </c>
      <c r="J89" s="6" t="n">
        <v>1</v>
      </c>
      <c r="K89" s="6"/>
      <c r="L89" s="6"/>
      <c r="M89" s="6" t="n">
        <v>4</v>
      </c>
      <c r="N89" s="13" t="n">
        <f aca="false">F89*185+H89*25+J89*80</f>
        <v>290</v>
      </c>
      <c r="O89" s="13" t="n">
        <f aca="false">D89*165</f>
        <v>990</v>
      </c>
      <c r="P89" s="13" t="n">
        <f aca="false">O89-N89</f>
        <v>700</v>
      </c>
      <c r="Q89" s="13" t="n">
        <f aca="false">IF(M89&gt;0,P89/M89,0)</f>
        <v>175</v>
      </c>
      <c r="R89" s="14" t="n">
        <v>1.5</v>
      </c>
      <c r="S89" s="14" t="n">
        <f aca="false">FLOOR(1000/R89,1)</f>
        <v>666</v>
      </c>
      <c r="T89" s="14" t="n">
        <f aca="false">IF(D89&gt;0, (P89/D89)*S89, 0)</f>
        <v>77700</v>
      </c>
      <c r="U89" s="14" t="n">
        <f aca="false">IF(M89&gt;0, T89/M89, 0)</f>
        <v>19425</v>
      </c>
    </row>
    <row r="90" customFormat="false" ht="15" hidden="false" customHeight="true" outlineLevel="0" collapsed="false">
      <c r="A90" s="6" t="s">
        <v>359</v>
      </c>
      <c r="B90" s="6" t="s">
        <v>337</v>
      </c>
      <c r="C90" s="6" t="s">
        <v>359</v>
      </c>
      <c r="D90" s="6" t="n">
        <v>5</v>
      </c>
      <c r="E90" s="6" t="s">
        <v>225</v>
      </c>
      <c r="F90" s="6" t="n">
        <v>2</v>
      </c>
      <c r="G90" s="6" t="s">
        <v>172</v>
      </c>
      <c r="H90" s="6" t="n">
        <v>1</v>
      </c>
      <c r="I90" s="6" t="s">
        <v>153</v>
      </c>
      <c r="J90" s="6" t="n">
        <v>1</v>
      </c>
      <c r="K90" s="6"/>
      <c r="L90" s="6"/>
      <c r="M90" s="6" t="n">
        <v>6</v>
      </c>
      <c r="N90" s="13" t="n">
        <f aca="false">F90*85+H90*120+J90*28</f>
        <v>318</v>
      </c>
      <c r="O90" s="13" t="n">
        <f aca="false">D90*185</f>
        <v>925</v>
      </c>
      <c r="P90" s="13" t="n">
        <f aca="false">O90-N90</f>
        <v>607</v>
      </c>
      <c r="Q90" s="13" t="n">
        <f aca="false">IF(M90&gt;0,P90/M90,0)</f>
        <v>101.166666666667</v>
      </c>
      <c r="R90" s="14" t="n">
        <v>0.5</v>
      </c>
      <c r="S90" s="14" t="n">
        <f aca="false">FLOOR(1000/R90,1)</f>
        <v>2000</v>
      </c>
      <c r="T90" s="14" t="n">
        <f aca="false">IF(D90&gt;0, (P90/D90)*S90, 0)</f>
        <v>242800</v>
      </c>
      <c r="U90" s="14" t="n">
        <f aca="false">IF(M90&gt;0, T90/M90, 0)</f>
        <v>40466.6666666667</v>
      </c>
    </row>
    <row r="91" customFormat="false" ht="15" hidden="false" customHeight="true" outlineLevel="0" collapsed="false">
      <c r="A91" s="6" t="s">
        <v>362</v>
      </c>
      <c r="B91" s="6" t="s">
        <v>337</v>
      </c>
      <c r="C91" s="6" t="s">
        <v>362</v>
      </c>
      <c r="D91" s="6" t="n">
        <v>4</v>
      </c>
      <c r="E91" s="6" t="s">
        <v>310</v>
      </c>
      <c r="F91" s="6" t="n">
        <v>1</v>
      </c>
      <c r="G91" s="6" t="s">
        <v>238</v>
      </c>
      <c r="H91" s="6" t="n">
        <v>1</v>
      </c>
      <c r="I91" s="6" t="s">
        <v>247</v>
      </c>
      <c r="J91" s="6" t="n">
        <v>1</v>
      </c>
      <c r="K91" s="6"/>
      <c r="L91" s="6"/>
      <c r="M91" s="6" t="n">
        <v>4</v>
      </c>
      <c r="N91" s="13" t="n">
        <f aca="false">F91*72+H91*35+J91*42</f>
        <v>149</v>
      </c>
      <c r="O91" s="13" t="n">
        <f aca="false">D91*140</f>
        <v>560</v>
      </c>
      <c r="P91" s="13" t="n">
        <f aca="false">O91-N91</f>
        <v>411</v>
      </c>
      <c r="Q91" s="13" t="n">
        <f aca="false">IF(M91&gt;0,P91/M91,0)</f>
        <v>102.75</v>
      </c>
      <c r="R91" s="14" t="n">
        <v>2</v>
      </c>
      <c r="S91" s="14" t="n">
        <f aca="false">FLOOR(1000/R91,1)</f>
        <v>500</v>
      </c>
      <c r="T91" s="14" t="n">
        <f aca="false">IF(D91&gt;0, (P91/D91)*S91, 0)</f>
        <v>51375</v>
      </c>
      <c r="U91" s="14" t="n">
        <f aca="false">IF(M91&gt;0, T91/M91, 0)</f>
        <v>12843.75</v>
      </c>
    </row>
    <row r="92" customFormat="false" ht="15" hidden="false" customHeight="true" outlineLevel="0" collapsed="false">
      <c r="A92" s="6" t="s">
        <v>365</v>
      </c>
      <c r="B92" s="6" t="s">
        <v>337</v>
      </c>
      <c r="C92" s="6" t="s">
        <v>365</v>
      </c>
      <c r="D92" s="6" t="n">
        <v>3</v>
      </c>
      <c r="E92" s="6" t="s">
        <v>316</v>
      </c>
      <c r="F92" s="6" t="n">
        <v>3</v>
      </c>
      <c r="G92" s="6" t="s">
        <v>80</v>
      </c>
      <c r="H92" s="6" t="n">
        <v>1</v>
      </c>
      <c r="I92" s="6" t="s">
        <v>97</v>
      </c>
      <c r="J92" s="6" t="n">
        <v>1</v>
      </c>
      <c r="K92" s="6"/>
      <c r="L92" s="6"/>
      <c r="M92" s="6" t="n">
        <v>12</v>
      </c>
      <c r="N92" s="13" t="n">
        <f aca="false">F92*95+H92*5+J92*8</f>
        <v>298</v>
      </c>
      <c r="O92" s="13" t="n">
        <f aca="false">D92*195</f>
        <v>585</v>
      </c>
      <c r="P92" s="13" t="n">
        <f aca="false">O92-N92</f>
        <v>287</v>
      </c>
      <c r="Q92" s="13" t="n">
        <f aca="false">IF(M92&gt;0,P92/M92,0)</f>
        <v>23.9166666666667</v>
      </c>
      <c r="R92" s="14" t="n">
        <v>1.5</v>
      </c>
      <c r="S92" s="14" t="n">
        <f aca="false">FLOOR(1000/R92,1)</f>
        <v>666</v>
      </c>
      <c r="T92" s="14" t="n">
        <f aca="false">IF(D92&gt;0, (P92/D92)*S92, 0)</f>
        <v>63714</v>
      </c>
      <c r="U92" s="14" t="n">
        <f aca="false">IF(M92&gt;0, T92/M92, 0)</f>
        <v>5309.5</v>
      </c>
    </row>
    <row r="93" customFormat="false" ht="15" hidden="false" customHeight="true" outlineLevel="0" collapsed="false">
      <c r="A93" s="6" t="s">
        <v>368</v>
      </c>
      <c r="B93" s="6" t="s">
        <v>337</v>
      </c>
      <c r="C93" s="6" t="s">
        <v>368</v>
      </c>
      <c r="D93" s="6" t="n">
        <v>3</v>
      </c>
      <c r="E93" s="6" t="s">
        <v>328</v>
      </c>
      <c r="F93" s="6" t="n">
        <v>3</v>
      </c>
      <c r="G93" s="6" t="s">
        <v>264</v>
      </c>
      <c r="H93" s="6" t="n">
        <v>2</v>
      </c>
      <c r="I93" s="6" t="s">
        <v>194</v>
      </c>
      <c r="J93" s="6" t="n">
        <v>1</v>
      </c>
      <c r="K93" s="6"/>
      <c r="L93" s="6"/>
      <c r="M93" s="6" t="n">
        <v>8</v>
      </c>
      <c r="N93" s="13" t="n">
        <f aca="false">F93*58+H93*62+J93*40</f>
        <v>338</v>
      </c>
      <c r="O93" s="13" t="n">
        <f aca="false">D93*380</f>
        <v>1140</v>
      </c>
      <c r="P93" s="13" t="n">
        <f aca="false">O93-N93</f>
        <v>802</v>
      </c>
      <c r="Q93" s="13" t="n">
        <f aca="false">IF(M93&gt;0,P93/M93,0)</f>
        <v>100.25</v>
      </c>
      <c r="R93" s="14" t="n">
        <v>1</v>
      </c>
      <c r="S93" s="14" t="n">
        <f aca="false">FLOOR(1000/R93,1)</f>
        <v>1000</v>
      </c>
      <c r="T93" s="14" t="n">
        <f aca="false">IF(D93&gt;0, (P93/D93)*S93, 0)</f>
        <v>267333.333333333</v>
      </c>
      <c r="U93" s="14" t="n">
        <f aca="false">IF(M93&gt;0, T93/M93, 0)</f>
        <v>33416.6666666667</v>
      </c>
    </row>
    <row r="94" customFormat="false" ht="15" hidden="false" customHeight="true" outlineLevel="0" collapsed="false">
      <c r="A94" s="6" t="s">
        <v>371</v>
      </c>
      <c r="B94" s="6" t="s">
        <v>337</v>
      </c>
      <c r="C94" s="6" t="s">
        <v>371</v>
      </c>
      <c r="D94" s="6" t="n">
        <v>6</v>
      </c>
      <c r="E94" s="6" t="s">
        <v>194</v>
      </c>
      <c r="F94" s="6" t="n">
        <v>2</v>
      </c>
      <c r="G94" s="6" t="s">
        <v>188</v>
      </c>
      <c r="H94" s="6" t="n">
        <v>1</v>
      </c>
      <c r="I94" s="6" t="s">
        <v>42</v>
      </c>
      <c r="J94" s="6" t="n">
        <v>1</v>
      </c>
      <c r="K94" s="6"/>
      <c r="L94" s="6"/>
      <c r="M94" s="6" t="n">
        <v>3</v>
      </c>
      <c r="N94" s="13" t="n">
        <f aca="false">F94*40+H94*60+J94*1</f>
        <v>141</v>
      </c>
      <c r="O94" s="13" t="n">
        <f aca="false">D94*120</f>
        <v>720</v>
      </c>
      <c r="P94" s="13" t="n">
        <f aca="false">O94-N94</f>
        <v>579</v>
      </c>
      <c r="Q94" s="13" t="n">
        <f aca="false">IF(M94&gt;0,P94/M94,0)</f>
        <v>193</v>
      </c>
      <c r="R94" s="14" t="n">
        <v>3</v>
      </c>
      <c r="S94" s="14" t="n">
        <f aca="false">FLOOR(1000/R94,1)</f>
        <v>333</v>
      </c>
      <c r="T94" s="14" t="n">
        <f aca="false">IF(D94&gt;0, (P94/D94)*S94, 0)</f>
        <v>32134.5</v>
      </c>
      <c r="U94" s="14" t="n">
        <f aca="false">IF(M94&gt;0, T94/M94, 0)</f>
        <v>10711.5</v>
      </c>
    </row>
    <row r="95" customFormat="false" ht="15" hidden="false" customHeight="true" outlineLevel="0" collapsed="false">
      <c r="A95" s="6" t="s">
        <v>373</v>
      </c>
      <c r="B95" s="6" t="s">
        <v>337</v>
      </c>
      <c r="C95" s="6" t="s">
        <v>373</v>
      </c>
      <c r="D95" s="6" t="n">
        <v>2</v>
      </c>
      <c r="E95" s="6" t="s">
        <v>211</v>
      </c>
      <c r="F95" s="6" t="n">
        <v>2</v>
      </c>
      <c r="G95" s="6" t="s">
        <v>205</v>
      </c>
      <c r="H95" s="6" t="n">
        <v>1</v>
      </c>
      <c r="I95" s="6" t="s">
        <v>328</v>
      </c>
      <c r="J95" s="6" t="n">
        <v>1</v>
      </c>
      <c r="K95" s="6"/>
      <c r="L95" s="6"/>
      <c r="M95" s="6" t="n">
        <v>12</v>
      </c>
      <c r="N95" s="13" t="n">
        <f aca="false">F95*320+H95*95+J95*58</f>
        <v>793</v>
      </c>
      <c r="O95" s="13" t="n">
        <f aca="false">D95*520</f>
        <v>1040</v>
      </c>
      <c r="P95" s="13" t="n">
        <f aca="false">O95-N95</f>
        <v>247</v>
      </c>
      <c r="Q95" s="13" t="n">
        <f aca="false">IF(M95&gt;0,P95/M95,0)</f>
        <v>20.5833333333333</v>
      </c>
      <c r="R95" s="14" t="n">
        <v>5</v>
      </c>
      <c r="S95" s="14" t="n">
        <f aca="false">FLOOR(1000/R95,1)</f>
        <v>200</v>
      </c>
      <c r="T95" s="14" t="n">
        <f aca="false">IF(D95&gt;0, (P95/D95)*S95, 0)</f>
        <v>24700</v>
      </c>
      <c r="U95" s="14" t="n">
        <f aca="false">IF(M95&gt;0, T95/M95, 0)</f>
        <v>2058.33333333333</v>
      </c>
    </row>
    <row r="96" customFormat="false" ht="15" hidden="false" customHeight="true" outlineLevel="0" collapsed="false">
      <c r="A96" s="6" t="s">
        <v>376</v>
      </c>
      <c r="B96" s="6" t="s">
        <v>337</v>
      </c>
      <c r="C96" s="6" t="s">
        <v>376</v>
      </c>
      <c r="D96" s="6" t="n">
        <v>2</v>
      </c>
      <c r="E96" s="6" t="s">
        <v>333</v>
      </c>
      <c r="F96" s="6" t="n">
        <v>3</v>
      </c>
      <c r="G96" s="6" t="s">
        <v>62</v>
      </c>
      <c r="H96" s="6" t="n">
        <v>1</v>
      </c>
      <c r="I96" s="6" t="s">
        <v>328</v>
      </c>
      <c r="J96" s="6" t="n">
        <v>1</v>
      </c>
      <c r="K96" s="6"/>
      <c r="L96" s="6"/>
      <c r="M96" s="6" t="n">
        <v>10</v>
      </c>
      <c r="N96" s="13" t="n">
        <f aca="false">F96*125+H96*80+J96*58</f>
        <v>513</v>
      </c>
      <c r="O96" s="13" t="n">
        <f aca="false">D96*450</f>
        <v>900</v>
      </c>
      <c r="P96" s="13" t="n">
        <f aca="false">O96-N96</f>
        <v>387</v>
      </c>
      <c r="Q96" s="13" t="n">
        <f aca="false">IF(M96&gt;0,P96/M96,0)</f>
        <v>38.7</v>
      </c>
      <c r="R96" s="14" t="n">
        <v>4</v>
      </c>
      <c r="S96" s="14" t="n">
        <f aca="false">FLOOR(1000/R96,1)</f>
        <v>250</v>
      </c>
      <c r="T96" s="14" t="n">
        <f aca="false">IF(D96&gt;0, (P96/D96)*S96, 0)</f>
        <v>48375</v>
      </c>
      <c r="U96" s="14" t="n">
        <f aca="false">IF(M96&gt;0, T96/M96, 0)</f>
        <v>4837.5</v>
      </c>
    </row>
    <row r="97" customFormat="false" ht="15" hidden="false" customHeight="true" outlineLevel="0" collapsed="false">
      <c r="A97" s="7" t="s">
        <v>379</v>
      </c>
      <c r="B97" s="7" t="s">
        <v>380</v>
      </c>
      <c r="C97" s="7" t="s">
        <v>379</v>
      </c>
      <c r="D97" s="7" t="n">
        <v>1</v>
      </c>
      <c r="E97" s="7" t="s">
        <v>352</v>
      </c>
      <c r="F97" s="7" t="n">
        <v>2</v>
      </c>
      <c r="G97" s="7" t="s">
        <v>273</v>
      </c>
      <c r="H97" s="7" t="n">
        <v>1</v>
      </c>
      <c r="I97" s="7" t="s">
        <v>354</v>
      </c>
      <c r="J97" s="7" t="n">
        <v>1</v>
      </c>
      <c r="K97" s="7"/>
      <c r="L97" s="7"/>
      <c r="M97" s="7" t="n">
        <v>16</v>
      </c>
      <c r="N97" s="15" t="n">
        <f aca="false">F97*290+H97*185+J97*210</f>
        <v>975</v>
      </c>
      <c r="O97" s="15" t="n">
        <f aca="false">D97*1200</f>
        <v>1200</v>
      </c>
      <c r="P97" s="15" t="n">
        <f aca="false">O97-N97</f>
        <v>225</v>
      </c>
      <c r="Q97" s="15" t="n">
        <f aca="false">IF(M97&gt;0,P97/M97,0)</f>
        <v>14.0625</v>
      </c>
      <c r="R97" s="16" t="n">
        <v>4</v>
      </c>
      <c r="S97" s="16" t="n">
        <f aca="false">FLOOR(1000/R97,1)</f>
        <v>250</v>
      </c>
      <c r="T97" s="16" t="n">
        <f aca="false">IF(D97&gt;0, (P97/D97)*S97, 0)</f>
        <v>56250</v>
      </c>
      <c r="U97" s="16" t="n">
        <f aca="false">IF(M97&gt;0, T97/M97, 0)</f>
        <v>3515.625</v>
      </c>
    </row>
    <row r="98" customFormat="false" ht="15" hidden="false" customHeight="true" outlineLevel="0" collapsed="false">
      <c r="A98" s="7" t="s">
        <v>384</v>
      </c>
      <c r="B98" s="7" t="s">
        <v>380</v>
      </c>
      <c r="C98" s="7" t="s">
        <v>384</v>
      </c>
      <c r="D98" s="7" t="n">
        <v>2</v>
      </c>
      <c r="E98" s="7" t="s">
        <v>345</v>
      </c>
      <c r="F98" s="7" t="n">
        <v>2</v>
      </c>
      <c r="G98" s="7" t="s">
        <v>205</v>
      </c>
      <c r="H98" s="7" t="n">
        <v>2</v>
      </c>
      <c r="I98" s="7" t="s">
        <v>293</v>
      </c>
      <c r="J98" s="7" t="n">
        <v>1</v>
      </c>
      <c r="K98" s="7"/>
      <c r="L98" s="7"/>
      <c r="M98" s="7" t="n">
        <v>12</v>
      </c>
      <c r="N98" s="15" t="n">
        <f aca="false">F98*280+H98*95+J98*45</f>
        <v>795</v>
      </c>
      <c r="O98" s="15" t="n">
        <f aca="false">D98*850</f>
        <v>1700</v>
      </c>
      <c r="P98" s="15" t="n">
        <f aca="false">O98-N98</f>
        <v>905</v>
      </c>
      <c r="Q98" s="15" t="n">
        <f aca="false">IF(M98&gt;0,P98/M98,0)</f>
        <v>75.4166666666667</v>
      </c>
      <c r="R98" s="16" t="n">
        <v>12</v>
      </c>
      <c r="S98" s="16" t="n">
        <f aca="false">FLOOR(1000/R98,1)</f>
        <v>83</v>
      </c>
      <c r="T98" s="16" t="n">
        <f aca="false">IF(D98&gt;0, (P98/D98)*S98, 0)</f>
        <v>37557.5</v>
      </c>
      <c r="U98" s="16" t="n">
        <f aca="false">IF(M98&gt;0, T98/M98, 0)</f>
        <v>3129.79166666667</v>
      </c>
    </row>
    <row r="99" customFormat="false" ht="15" hidden="false" customHeight="true" outlineLevel="0" collapsed="false">
      <c r="A99" s="7" t="s">
        <v>387</v>
      </c>
      <c r="B99" s="7" t="s">
        <v>380</v>
      </c>
      <c r="C99" s="7" t="s">
        <v>387</v>
      </c>
      <c r="D99" s="7" t="n">
        <v>1</v>
      </c>
      <c r="E99" s="7" t="s">
        <v>352</v>
      </c>
      <c r="F99" s="7" t="n">
        <v>1</v>
      </c>
      <c r="G99" s="7" t="s">
        <v>356</v>
      </c>
      <c r="H99" s="7" t="n">
        <v>1</v>
      </c>
      <c r="I99" s="7" t="s">
        <v>273</v>
      </c>
      <c r="J99" s="7" t="n">
        <v>1</v>
      </c>
      <c r="K99" s="7"/>
      <c r="L99" s="7"/>
      <c r="M99" s="7" t="n">
        <v>14</v>
      </c>
      <c r="N99" s="15" t="n">
        <f aca="false">F99*290+H99*165+J99*185</f>
        <v>640</v>
      </c>
      <c r="O99" s="15" t="n">
        <f aca="false">D99*980</f>
        <v>980</v>
      </c>
      <c r="P99" s="15" t="n">
        <f aca="false">O99-N99</f>
        <v>340</v>
      </c>
      <c r="Q99" s="15" t="n">
        <f aca="false">IF(M99&gt;0,P99/M99,0)</f>
        <v>24.2857142857143</v>
      </c>
      <c r="R99" s="16" t="n">
        <v>2</v>
      </c>
      <c r="S99" s="16" t="n">
        <f aca="false">FLOOR(1000/R99,1)</f>
        <v>500</v>
      </c>
      <c r="T99" s="16" t="n">
        <f aca="false">IF(D99&gt;0, (P99/D99)*S99, 0)</f>
        <v>170000</v>
      </c>
      <c r="U99" s="16" t="n">
        <f aca="false">IF(M99&gt;0, T99/M99, 0)</f>
        <v>12142.8571428571</v>
      </c>
    </row>
    <row r="100" customFormat="false" ht="15" hidden="false" customHeight="true" outlineLevel="0" collapsed="false">
      <c r="A100" s="7" t="s">
        <v>390</v>
      </c>
      <c r="B100" s="7" t="s">
        <v>380</v>
      </c>
      <c r="C100" s="7" t="s">
        <v>390</v>
      </c>
      <c r="D100" s="7" t="n">
        <v>2</v>
      </c>
      <c r="E100" s="7" t="s">
        <v>123</v>
      </c>
      <c r="F100" s="7" t="n">
        <v>3</v>
      </c>
      <c r="G100" s="7" t="s">
        <v>200</v>
      </c>
      <c r="H100" s="7" t="n">
        <v>1</v>
      </c>
      <c r="I100" s="7" t="s">
        <v>216</v>
      </c>
      <c r="J100" s="7" t="n">
        <v>1</v>
      </c>
      <c r="K100" s="7"/>
      <c r="L100" s="7"/>
      <c r="M100" s="7" t="n">
        <v>10</v>
      </c>
      <c r="N100" s="15" t="n">
        <f aca="false">F100*90+H100*88+J100*68</f>
        <v>426</v>
      </c>
      <c r="O100" s="15" t="n">
        <f aca="false">D100*680</f>
        <v>1360</v>
      </c>
      <c r="P100" s="15" t="n">
        <f aca="false">O100-N100</f>
        <v>934</v>
      </c>
      <c r="Q100" s="15" t="n">
        <f aca="false">IF(M100&gt;0,P100/M100,0)</f>
        <v>93.4</v>
      </c>
      <c r="R100" s="16" t="n">
        <v>8</v>
      </c>
      <c r="S100" s="16" t="n">
        <f aca="false">FLOOR(1000/R100,1)</f>
        <v>125</v>
      </c>
      <c r="T100" s="16" t="n">
        <f aca="false">IF(D100&gt;0, (P100/D100)*S100, 0)</f>
        <v>58375</v>
      </c>
      <c r="U100" s="16" t="n">
        <f aca="false">IF(M100&gt;0, T100/M100, 0)</f>
        <v>5837.5</v>
      </c>
    </row>
    <row r="101" customFormat="false" ht="15" hidden="false" customHeight="true" outlineLevel="0" collapsed="false">
      <c r="A101" s="7" t="s">
        <v>393</v>
      </c>
      <c r="B101" s="7" t="s">
        <v>380</v>
      </c>
      <c r="C101" s="7" t="s">
        <v>393</v>
      </c>
      <c r="D101" s="7" t="n">
        <v>1</v>
      </c>
      <c r="E101" s="7" t="s">
        <v>349</v>
      </c>
      <c r="F101" s="7" t="n">
        <v>2</v>
      </c>
      <c r="G101" s="7" t="s">
        <v>352</v>
      </c>
      <c r="H101" s="7" t="n">
        <v>1</v>
      </c>
      <c r="I101" s="7" t="s">
        <v>205</v>
      </c>
      <c r="J101" s="7" t="n">
        <v>2</v>
      </c>
      <c r="K101" s="7"/>
      <c r="L101" s="7"/>
      <c r="M101" s="7" t="n">
        <v>20</v>
      </c>
      <c r="N101" s="15" t="n">
        <f aca="false">F101*350+H101*290+J101*95</f>
        <v>1180</v>
      </c>
      <c r="O101" s="15" t="n">
        <f aca="false">D101*1500</f>
        <v>1500</v>
      </c>
      <c r="P101" s="15" t="n">
        <f aca="false">O101-N101</f>
        <v>320</v>
      </c>
      <c r="Q101" s="15" t="n">
        <f aca="false">IF(M101&gt;0,P101/M101,0)</f>
        <v>16</v>
      </c>
      <c r="R101" s="16" t="n">
        <v>15</v>
      </c>
      <c r="S101" s="16" t="n">
        <f aca="false">FLOOR(1000/R101,1)</f>
        <v>66</v>
      </c>
      <c r="T101" s="16" t="n">
        <f aca="false">IF(D101&gt;0, (P101/D101)*S101, 0)</f>
        <v>21120</v>
      </c>
      <c r="U101" s="16" t="n">
        <f aca="false">IF(M101&gt;0, T101/M101, 0)</f>
        <v>1056</v>
      </c>
    </row>
    <row r="102" customFormat="false" ht="15" hidden="false" customHeight="true" outlineLevel="0" collapsed="false">
      <c r="A102" s="7" t="s">
        <v>396</v>
      </c>
      <c r="B102" s="7" t="s">
        <v>380</v>
      </c>
      <c r="C102" s="7" t="s">
        <v>396</v>
      </c>
      <c r="D102" s="7" t="n">
        <v>1</v>
      </c>
      <c r="E102" s="7" t="s">
        <v>349</v>
      </c>
      <c r="F102" s="7" t="n">
        <v>2</v>
      </c>
      <c r="G102" s="7" t="s">
        <v>283</v>
      </c>
      <c r="H102" s="7" t="n">
        <v>2</v>
      </c>
      <c r="I102" s="7" t="s">
        <v>373</v>
      </c>
      <c r="J102" s="7" t="n">
        <v>1</v>
      </c>
      <c r="K102" s="7"/>
      <c r="L102" s="7"/>
      <c r="M102" s="7" t="n">
        <v>14</v>
      </c>
      <c r="N102" s="15" t="n">
        <f aca="false">F102*350+H102*52+J102*520</f>
        <v>1324</v>
      </c>
      <c r="O102" s="15" t="n">
        <f aca="false">D102*920</f>
        <v>920</v>
      </c>
      <c r="P102" s="15" t="n">
        <f aca="false">O102-N102</f>
        <v>-404</v>
      </c>
      <c r="Q102" s="15" t="n">
        <f aca="false">IF(M102&gt;0,P102/M102,0)</f>
        <v>-28.8571428571429</v>
      </c>
      <c r="R102" s="16" t="n">
        <v>20</v>
      </c>
      <c r="S102" s="16" t="n">
        <f aca="false">FLOOR(1000/R102,1)</f>
        <v>50</v>
      </c>
      <c r="T102" s="16" t="n">
        <f aca="false">IF(D102&gt;0, (P102/D102)*S102, 0)</f>
        <v>-20200</v>
      </c>
      <c r="U102" s="16" t="n">
        <f aca="false">IF(M102&gt;0, T102/M102, 0)</f>
        <v>-1442.85714285714</v>
      </c>
    </row>
    <row r="103" customFormat="false" ht="15" hidden="false" customHeight="true" outlineLevel="0" collapsed="false">
      <c r="A103" s="7" t="s">
        <v>399</v>
      </c>
      <c r="B103" s="7" t="s">
        <v>380</v>
      </c>
      <c r="C103" s="7" t="s">
        <v>399</v>
      </c>
      <c r="D103" s="7" t="n">
        <v>2</v>
      </c>
      <c r="E103" s="7" t="s">
        <v>200</v>
      </c>
      <c r="F103" s="7" t="n">
        <v>2</v>
      </c>
      <c r="G103" s="7" t="s">
        <v>352</v>
      </c>
      <c r="H103" s="7" t="n">
        <v>1</v>
      </c>
      <c r="I103" s="7" t="s">
        <v>216</v>
      </c>
      <c r="J103" s="7" t="n">
        <v>1</v>
      </c>
      <c r="K103" s="7"/>
      <c r="L103" s="7"/>
      <c r="M103" s="7" t="n">
        <v>8</v>
      </c>
      <c r="N103" s="15" t="n">
        <f aca="false">F103*88+H103*290+J103*68</f>
        <v>534</v>
      </c>
      <c r="O103" s="15" t="n">
        <f aca="false">D103*750</f>
        <v>1500</v>
      </c>
      <c r="P103" s="15" t="n">
        <f aca="false">O103-N103</f>
        <v>966</v>
      </c>
      <c r="Q103" s="15" t="n">
        <f aca="false">IF(M103&gt;0,P103/M103,0)</f>
        <v>120.75</v>
      </c>
      <c r="R103" s="16" t="n">
        <v>6</v>
      </c>
      <c r="S103" s="16" t="n">
        <f aca="false">FLOOR(1000/R103,1)</f>
        <v>166</v>
      </c>
      <c r="T103" s="16" t="n">
        <f aca="false">IF(D103&gt;0, (P103/D103)*S103, 0)</f>
        <v>80178</v>
      </c>
      <c r="U103" s="16" t="n">
        <f aca="false">IF(M103&gt;0, T103/M103, 0)</f>
        <v>10022.25</v>
      </c>
    </row>
    <row r="104" customFormat="false" ht="15" hidden="false" customHeight="true" outlineLevel="0" collapsed="false">
      <c r="A104" s="7" t="s">
        <v>402</v>
      </c>
      <c r="B104" s="7" t="s">
        <v>380</v>
      </c>
      <c r="C104" s="7" t="s">
        <v>402</v>
      </c>
      <c r="D104" s="7" t="n">
        <v>1</v>
      </c>
      <c r="E104" s="7" t="s">
        <v>352</v>
      </c>
      <c r="F104" s="7" t="n">
        <v>1</v>
      </c>
      <c r="G104" s="7" t="s">
        <v>356</v>
      </c>
      <c r="H104" s="7" t="n">
        <v>1</v>
      </c>
      <c r="I104" s="7" t="s">
        <v>273</v>
      </c>
      <c r="J104" s="7" t="n">
        <v>2</v>
      </c>
      <c r="K104" s="7"/>
      <c r="L104" s="7"/>
      <c r="M104" s="7" t="n">
        <v>24</v>
      </c>
      <c r="N104" s="15" t="n">
        <f aca="false">F104*290+H104*165+J104*185</f>
        <v>825</v>
      </c>
      <c r="O104" s="15" t="n">
        <f aca="false">D104*1800</f>
        <v>1800</v>
      </c>
      <c r="P104" s="15" t="n">
        <f aca="false">O104-N104</f>
        <v>975</v>
      </c>
      <c r="Q104" s="15" t="n">
        <f aca="false">IF(M104&gt;0,P104/M104,0)</f>
        <v>40.625</v>
      </c>
      <c r="R104" s="16" t="n">
        <v>10</v>
      </c>
      <c r="S104" s="16" t="n">
        <f aca="false">FLOOR(1000/R104,1)</f>
        <v>100</v>
      </c>
      <c r="T104" s="16" t="n">
        <f aca="false">IF(D104&gt;0, (P104/D104)*S104, 0)</f>
        <v>97500</v>
      </c>
      <c r="U104" s="16" t="n">
        <f aca="false">IF(M104&gt;0, T104/M104, 0)</f>
        <v>4062.5</v>
      </c>
    </row>
    <row r="105" customFormat="false" ht="15" hidden="false" customHeight="true" outlineLevel="0" collapsed="false">
      <c r="A105" s="7" t="s">
        <v>405</v>
      </c>
      <c r="B105" s="7" t="s">
        <v>380</v>
      </c>
      <c r="C105" s="7" t="s">
        <v>405</v>
      </c>
      <c r="D105" s="7" t="n">
        <v>2</v>
      </c>
      <c r="E105" s="7" t="s">
        <v>336</v>
      </c>
      <c r="F105" s="7" t="n">
        <v>2</v>
      </c>
      <c r="G105" s="7" t="s">
        <v>340</v>
      </c>
      <c r="H105" s="7" t="n">
        <v>2</v>
      </c>
      <c r="I105" s="7" t="s">
        <v>214</v>
      </c>
      <c r="J105" s="7" t="n">
        <v>1</v>
      </c>
      <c r="K105" s="7"/>
      <c r="L105" s="7"/>
      <c r="M105" s="7" t="n">
        <v>8</v>
      </c>
      <c r="N105" s="15" t="n">
        <f aca="false">F105*180+H105*155+J105*72</f>
        <v>742</v>
      </c>
      <c r="O105" s="15" t="n">
        <f aca="false">D105*580</f>
        <v>1160</v>
      </c>
      <c r="P105" s="15" t="n">
        <f aca="false">O105-N105</f>
        <v>418</v>
      </c>
      <c r="Q105" s="15" t="n">
        <f aca="false">IF(M105&gt;0,P105/M105,0)</f>
        <v>52.25</v>
      </c>
      <c r="R105" s="16" t="n">
        <v>25</v>
      </c>
      <c r="S105" s="16" t="n">
        <f aca="false">FLOOR(1000/R105,1)</f>
        <v>40</v>
      </c>
      <c r="T105" s="16" t="n">
        <f aca="false">IF(D105&gt;0, (P105/D105)*S105, 0)</f>
        <v>8360</v>
      </c>
      <c r="U105" s="16" t="n">
        <f aca="false">IF(M105&gt;0, T105/M105, 0)</f>
        <v>1045</v>
      </c>
    </row>
    <row r="106" customFormat="false" ht="15" hidden="false" customHeight="true" outlineLevel="0" collapsed="false">
      <c r="A106" s="7" t="s">
        <v>408</v>
      </c>
      <c r="B106" s="7" t="s">
        <v>380</v>
      </c>
      <c r="C106" s="7" t="s">
        <v>408</v>
      </c>
      <c r="D106" s="7" t="n">
        <v>2</v>
      </c>
      <c r="E106" s="7" t="s">
        <v>349</v>
      </c>
      <c r="F106" s="7" t="n">
        <v>1</v>
      </c>
      <c r="G106" s="7" t="s">
        <v>283</v>
      </c>
      <c r="H106" s="7" t="n">
        <v>2</v>
      </c>
      <c r="I106" s="7" t="s">
        <v>185</v>
      </c>
      <c r="J106" s="7" t="n">
        <v>1</v>
      </c>
      <c r="K106" s="7"/>
      <c r="L106" s="7"/>
      <c r="M106" s="7" t="n">
        <v>10</v>
      </c>
      <c r="N106" s="15" t="n">
        <f aca="false">F106*350+H106*52+J106*55</f>
        <v>509</v>
      </c>
      <c r="O106" s="15" t="n">
        <f aca="false">D106*720</f>
        <v>1440</v>
      </c>
      <c r="P106" s="15" t="n">
        <f aca="false">O106-N106</f>
        <v>931</v>
      </c>
      <c r="Q106" s="15" t="n">
        <f aca="false">IF(M106&gt;0,P106/M106,0)</f>
        <v>93.1</v>
      </c>
      <c r="R106" s="16" t="n">
        <v>8</v>
      </c>
      <c r="S106" s="16" t="n">
        <f aca="false">FLOOR(1000/R106,1)</f>
        <v>125</v>
      </c>
      <c r="T106" s="16" t="n">
        <f aca="false">IF(D106&gt;0, (P106/D106)*S106, 0)</f>
        <v>58187.5</v>
      </c>
      <c r="U106" s="16" t="n">
        <f aca="false">IF(M106&gt;0, T106/M106, 0)</f>
        <v>5818.75</v>
      </c>
    </row>
    <row r="107" customFormat="false" ht="15" hidden="false" customHeight="true" outlineLevel="0" collapsed="false">
      <c r="A107" s="7" t="s">
        <v>411</v>
      </c>
      <c r="B107" s="7" t="s">
        <v>380</v>
      </c>
      <c r="C107" s="7" t="s">
        <v>411</v>
      </c>
      <c r="D107" s="7" t="n">
        <v>3</v>
      </c>
      <c r="E107" s="7" t="s">
        <v>362</v>
      </c>
      <c r="F107" s="7" t="n">
        <v>1</v>
      </c>
      <c r="G107" s="7" t="s">
        <v>238</v>
      </c>
      <c r="H107" s="7" t="n">
        <v>1</v>
      </c>
      <c r="I107" s="7" t="s">
        <v>313</v>
      </c>
      <c r="J107" s="7" t="n">
        <v>1</v>
      </c>
      <c r="K107" s="7"/>
      <c r="L107" s="7"/>
      <c r="M107" s="7" t="n">
        <v>8</v>
      </c>
      <c r="N107" s="15" t="n">
        <f aca="false">F107*140+H107*35+J107*30</f>
        <v>205</v>
      </c>
      <c r="O107" s="15" t="n">
        <f aca="false">D107*350</f>
        <v>1050</v>
      </c>
      <c r="P107" s="15" t="n">
        <f aca="false">O107-N107</f>
        <v>845</v>
      </c>
      <c r="Q107" s="15" t="n">
        <f aca="false">IF(M107&gt;0,P107/M107,0)</f>
        <v>105.625</v>
      </c>
      <c r="R107" s="16" t="n">
        <v>2.5</v>
      </c>
      <c r="S107" s="16" t="n">
        <f aca="false">FLOOR(1000/R107,1)</f>
        <v>400</v>
      </c>
      <c r="T107" s="16" t="n">
        <f aca="false">IF(D107&gt;0, (P107/D107)*S107, 0)</f>
        <v>112666.666666667</v>
      </c>
      <c r="U107" s="16" t="n">
        <f aca="false">IF(M107&gt;0, T107/M107, 0)</f>
        <v>14083.3333333333</v>
      </c>
    </row>
    <row r="108" customFormat="false" ht="15" hidden="false" customHeight="true" outlineLevel="0" collapsed="false">
      <c r="A108" s="7" t="s">
        <v>414</v>
      </c>
      <c r="B108" s="7" t="s">
        <v>380</v>
      </c>
      <c r="C108" s="7" t="s">
        <v>414</v>
      </c>
      <c r="D108" s="7" t="n">
        <v>4</v>
      </c>
      <c r="E108" s="7" t="s">
        <v>359</v>
      </c>
      <c r="F108" s="7" t="n">
        <v>2</v>
      </c>
      <c r="G108" s="7" t="s">
        <v>172</v>
      </c>
      <c r="H108" s="7" t="n">
        <v>1</v>
      </c>
      <c r="I108" s="7" t="s">
        <v>228</v>
      </c>
      <c r="J108" s="7" t="n">
        <v>1</v>
      </c>
      <c r="K108" s="7"/>
      <c r="L108" s="7"/>
      <c r="M108" s="7" t="n">
        <v>6</v>
      </c>
      <c r="N108" s="15" t="n">
        <f aca="false">F108*185+H108*120+J108*45</f>
        <v>535</v>
      </c>
      <c r="O108" s="15" t="n">
        <f aca="false">D108*280</f>
        <v>1120</v>
      </c>
      <c r="P108" s="15" t="n">
        <f aca="false">O108-N108</f>
        <v>585</v>
      </c>
      <c r="Q108" s="15" t="n">
        <f aca="false">IF(M108&gt;0,P108/M108,0)</f>
        <v>97.5</v>
      </c>
      <c r="R108" s="16" t="n">
        <v>1</v>
      </c>
      <c r="S108" s="16" t="n">
        <f aca="false">FLOOR(1000/R108,1)</f>
        <v>1000</v>
      </c>
      <c r="T108" s="16" t="n">
        <f aca="false">IF(D108&gt;0, (P108/D108)*S108, 0)</f>
        <v>146250</v>
      </c>
      <c r="U108" s="16" t="n">
        <f aca="false">IF(M108&gt;0, T108/M108, 0)</f>
        <v>24375</v>
      </c>
    </row>
    <row r="109" customFormat="false" ht="15" hidden="false" customHeight="true" outlineLevel="0" collapsed="false">
      <c r="A109" s="7" t="s">
        <v>416</v>
      </c>
      <c r="B109" s="7" t="s">
        <v>380</v>
      </c>
      <c r="C109" s="7" t="s">
        <v>416</v>
      </c>
      <c r="D109" s="7" t="n">
        <v>3</v>
      </c>
      <c r="E109" s="7" t="s">
        <v>365</v>
      </c>
      <c r="F109" s="7" t="n">
        <v>2</v>
      </c>
      <c r="G109" s="7" t="s">
        <v>233</v>
      </c>
      <c r="H109" s="7" t="n">
        <v>1</v>
      </c>
      <c r="I109" s="7" t="s">
        <v>164</v>
      </c>
      <c r="J109" s="7" t="n">
        <v>1</v>
      </c>
      <c r="K109" s="7"/>
      <c r="L109" s="7"/>
      <c r="M109" s="7" t="n">
        <v>10</v>
      </c>
      <c r="N109" s="15" t="n">
        <f aca="false">F109*195+H109*58+J109*22</f>
        <v>470</v>
      </c>
      <c r="O109" s="15" t="n">
        <f aca="false">D109*320</f>
        <v>960</v>
      </c>
      <c r="P109" s="15" t="n">
        <f aca="false">O109-N109</f>
        <v>490</v>
      </c>
      <c r="Q109" s="15" t="n">
        <f aca="false">IF(M109&gt;0,P109/M109,0)</f>
        <v>49</v>
      </c>
      <c r="R109" s="16" t="n">
        <v>2</v>
      </c>
      <c r="S109" s="16" t="n">
        <f aca="false">FLOOR(1000/R109,1)</f>
        <v>500</v>
      </c>
      <c r="T109" s="16" t="n">
        <f aca="false">IF(D109&gt;0, (P109/D109)*S109, 0)</f>
        <v>81666.6666666667</v>
      </c>
      <c r="U109" s="16" t="n">
        <f aca="false">IF(M109&gt;0, T109/M109, 0)</f>
        <v>8166.66666666667</v>
      </c>
    </row>
    <row r="110" customFormat="false" ht="15" hidden="false" customHeight="true" outlineLevel="0" collapsed="false">
      <c r="A110" s="8" t="s">
        <v>418</v>
      </c>
      <c r="B110" s="8" t="s">
        <v>419</v>
      </c>
      <c r="C110" s="8" t="s">
        <v>418</v>
      </c>
      <c r="D110" s="8" t="n">
        <v>1</v>
      </c>
      <c r="E110" s="8" t="s">
        <v>379</v>
      </c>
      <c r="F110" s="8" t="n">
        <v>1</v>
      </c>
      <c r="G110" s="8" t="s">
        <v>387</v>
      </c>
      <c r="H110" s="8" t="n">
        <v>1</v>
      </c>
      <c r="I110" s="8" t="s">
        <v>376</v>
      </c>
      <c r="J110" s="8" t="n">
        <v>1</v>
      </c>
      <c r="K110" s="8" t="s">
        <v>352</v>
      </c>
      <c r="L110" s="8" t="n">
        <v>1</v>
      </c>
      <c r="M110" s="8" t="n">
        <v>24</v>
      </c>
      <c r="N110" s="17" t="n">
        <f aca="false">F110*1200+H110*980+J110*450+L110*290</f>
        <v>2920</v>
      </c>
      <c r="O110" s="17" t="n">
        <f aca="false">D110*3500</f>
        <v>3500</v>
      </c>
      <c r="P110" s="17" t="n">
        <f aca="false">O110-N110</f>
        <v>580</v>
      </c>
      <c r="Q110" s="17" t="n">
        <f aca="false">IF(M110&gt;0,P110/M110,0)</f>
        <v>24.1666666666667</v>
      </c>
      <c r="R110" s="18" t="n">
        <v>3</v>
      </c>
      <c r="S110" s="18" t="n">
        <f aca="false">FLOOR(1000/R110,1)</f>
        <v>333</v>
      </c>
      <c r="T110" s="18" t="n">
        <f aca="false">IF(D110&gt;0, (P110/D110)*S110, 0)</f>
        <v>193140</v>
      </c>
      <c r="U110" s="18" t="n">
        <f aca="false">IF(M110&gt;0, T110/M110, 0)</f>
        <v>8047.5</v>
      </c>
    </row>
    <row r="111" customFormat="false" ht="15" hidden="false" customHeight="true" outlineLevel="0" collapsed="false">
      <c r="A111" s="8" t="s">
        <v>422</v>
      </c>
      <c r="B111" s="8" t="s">
        <v>419</v>
      </c>
      <c r="C111" s="8" t="s">
        <v>422</v>
      </c>
      <c r="D111" s="8" t="n">
        <v>1</v>
      </c>
      <c r="E111" s="8" t="s">
        <v>373</v>
      </c>
      <c r="F111" s="8" t="n">
        <v>2</v>
      </c>
      <c r="G111" s="8" t="s">
        <v>211</v>
      </c>
      <c r="H111" s="8" t="n">
        <v>1</v>
      </c>
      <c r="I111" s="8" t="s">
        <v>345</v>
      </c>
      <c r="J111" s="8" t="n">
        <v>1</v>
      </c>
      <c r="K111" s="8" t="s">
        <v>325</v>
      </c>
      <c r="L111" s="8" t="n">
        <v>1</v>
      </c>
      <c r="M111" s="8" t="n">
        <v>36</v>
      </c>
      <c r="N111" s="17" t="n">
        <f aca="false">F111*520+H111*320+J111*280+L111*75</f>
        <v>1715</v>
      </c>
      <c r="O111" s="17" t="n">
        <f aca="false">D111*5200</f>
        <v>5200</v>
      </c>
      <c r="P111" s="17" t="n">
        <f aca="false">O111-N111</f>
        <v>3485</v>
      </c>
      <c r="Q111" s="17" t="n">
        <f aca="false">IF(M111&gt;0,P111/M111,0)</f>
        <v>96.8055555555556</v>
      </c>
      <c r="R111" s="18" t="n">
        <v>18</v>
      </c>
      <c r="S111" s="18" t="n">
        <f aca="false">FLOOR(1000/R111,1)</f>
        <v>55</v>
      </c>
      <c r="T111" s="18" t="n">
        <f aca="false">IF(D111&gt;0, (P111/D111)*S111, 0)</f>
        <v>191675</v>
      </c>
      <c r="U111" s="18" t="n">
        <f aca="false">IF(M111&gt;0, T111/M111, 0)</f>
        <v>5324.30555555556</v>
      </c>
    </row>
    <row r="112" customFormat="false" ht="15" hidden="false" customHeight="true" outlineLevel="0" collapsed="false">
      <c r="A112" s="8" t="s">
        <v>425</v>
      </c>
      <c r="B112" s="8" t="s">
        <v>419</v>
      </c>
      <c r="C112" s="8" t="s">
        <v>425</v>
      </c>
      <c r="D112" s="8" t="n">
        <v>1</v>
      </c>
      <c r="E112" s="8" t="s">
        <v>387</v>
      </c>
      <c r="F112" s="8" t="n">
        <v>1</v>
      </c>
      <c r="G112" s="8" t="s">
        <v>390</v>
      </c>
      <c r="H112" s="8" t="n">
        <v>1</v>
      </c>
      <c r="I112" s="8" t="s">
        <v>368</v>
      </c>
      <c r="J112" s="8" t="n">
        <v>1</v>
      </c>
      <c r="K112" s="8" t="s">
        <v>399</v>
      </c>
      <c r="L112" s="8" t="n">
        <v>1</v>
      </c>
      <c r="M112" s="8" t="n">
        <v>30</v>
      </c>
      <c r="N112" s="17" t="n">
        <f aca="false">F112*980+H112*680+J112*380+L112*750</f>
        <v>2790</v>
      </c>
      <c r="O112" s="17" t="n">
        <f aca="false">D112*4800</f>
        <v>4800</v>
      </c>
      <c r="P112" s="17" t="n">
        <f aca="false">O112-N112</f>
        <v>2010</v>
      </c>
      <c r="Q112" s="17" t="n">
        <f aca="false">IF(M112&gt;0,P112/M112,0)</f>
        <v>67</v>
      </c>
      <c r="R112" s="18" t="n">
        <v>5</v>
      </c>
      <c r="S112" s="18" t="n">
        <f aca="false">FLOOR(1000/R112,1)</f>
        <v>200</v>
      </c>
      <c r="T112" s="18" t="n">
        <f aca="false">IF(D112&gt;0, (P112/D112)*S112, 0)</f>
        <v>402000</v>
      </c>
      <c r="U112" s="18" t="n">
        <f aca="false">IF(M112&gt;0, T112/M112, 0)</f>
        <v>13400</v>
      </c>
    </row>
    <row r="113" customFormat="false" ht="15" hidden="false" customHeight="true" outlineLevel="0" collapsed="false">
      <c r="A113" s="8" t="s">
        <v>429</v>
      </c>
      <c r="B113" s="8" t="s">
        <v>419</v>
      </c>
      <c r="C113" s="8" t="s">
        <v>429</v>
      </c>
      <c r="D113" s="8" t="n">
        <v>1</v>
      </c>
      <c r="E113" s="8" t="s">
        <v>259</v>
      </c>
      <c r="F113" s="8" t="n">
        <v>3</v>
      </c>
      <c r="G113" s="8" t="s">
        <v>342</v>
      </c>
      <c r="H113" s="8" t="n">
        <v>2</v>
      </c>
      <c r="I113" s="8" t="s">
        <v>345</v>
      </c>
      <c r="J113" s="8" t="n">
        <v>1</v>
      </c>
      <c r="K113" s="8" t="s">
        <v>352</v>
      </c>
      <c r="L113" s="8" t="n">
        <v>1</v>
      </c>
      <c r="M113" s="8" t="n">
        <v>48</v>
      </c>
      <c r="N113" s="17" t="n">
        <f aca="false">F113*850+H113*420+J113*280+L113*290</f>
        <v>3960</v>
      </c>
      <c r="O113" s="17" t="n">
        <f aca="false">D113*12000</f>
        <v>12000</v>
      </c>
      <c r="P113" s="17" t="n">
        <f aca="false">O113-N113</f>
        <v>8040</v>
      </c>
      <c r="Q113" s="17" t="n">
        <f aca="false">IF(M113&gt;0,P113/M113,0)</f>
        <v>167.5</v>
      </c>
      <c r="R113" s="18" t="n">
        <v>25</v>
      </c>
      <c r="S113" s="18" t="n">
        <f aca="false">FLOOR(1000/R113,1)</f>
        <v>40</v>
      </c>
      <c r="T113" s="18" t="n">
        <f aca="false">IF(D113&gt;0, (P113/D113)*S113, 0)</f>
        <v>321600</v>
      </c>
      <c r="U113" s="18" t="n">
        <f aca="false">IF(M113&gt;0, T113/M113, 0)</f>
        <v>6700</v>
      </c>
    </row>
    <row r="114" customFormat="false" ht="15" hidden="false" customHeight="true" outlineLevel="0" collapsed="false">
      <c r="A114" s="8" t="s">
        <v>432</v>
      </c>
      <c r="B114" s="8" t="s">
        <v>419</v>
      </c>
      <c r="C114" s="8" t="s">
        <v>432</v>
      </c>
      <c r="D114" s="8" t="n">
        <v>2</v>
      </c>
      <c r="E114" s="8" t="s">
        <v>120</v>
      </c>
      <c r="F114" s="8" t="n">
        <v>1</v>
      </c>
      <c r="G114" s="8" t="s">
        <v>123</v>
      </c>
      <c r="H114" s="8" t="n">
        <v>1</v>
      </c>
      <c r="I114" s="8" t="s">
        <v>62</v>
      </c>
      <c r="J114" s="8" t="n">
        <v>1</v>
      </c>
      <c r="K114" s="8" t="s">
        <v>305</v>
      </c>
      <c r="L114" s="8" t="n">
        <v>1</v>
      </c>
      <c r="M114" s="8" t="n">
        <v>16</v>
      </c>
      <c r="N114" s="17" t="n">
        <f aca="false">F114*150+H114*90+J114*80+L114*68</f>
        <v>388</v>
      </c>
      <c r="O114" s="17" t="n">
        <f aca="false">D114*2800</f>
        <v>5600</v>
      </c>
      <c r="P114" s="17" t="n">
        <f aca="false">O114-N114</f>
        <v>5212</v>
      </c>
      <c r="Q114" s="17" t="n">
        <f aca="false">IF(M114&gt;0,P114/M114,0)</f>
        <v>325.75</v>
      </c>
      <c r="R114" s="18" t="n">
        <v>0.2</v>
      </c>
      <c r="S114" s="18" t="n">
        <f aca="false">FLOOR(1000/R114,1)</f>
        <v>5000</v>
      </c>
      <c r="T114" s="18" t="n">
        <f aca="false">IF(D114&gt;0, (P114/D114)*S114, 0)</f>
        <v>13030000</v>
      </c>
      <c r="U114" s="18" t="n">
        <f aca="false">IF(M114&gt;0, T114/M114, 0)</f>
        <v>814375</v>
      </c>
    </row>
    <row r="115" customFormat="false" ht="15" hidden="false" customHeight="true" outlineLevel="0" collapsed="false">
      <c r="A115" s="8" t="s">
        <v>436</v>
      </c>
      <c r="B115" s="8" t="s">
        <v>419</v>
      </c>
      <c r="C115" s="8" t="s">
        <v>436</v>
      </c>
      <c r="D115" s="8" t="n">
        <v>3</v>
      </c>
      <c r="E115" s="8" t="s">
        <v>359</v>
      </c>
      <c r="F115" s="8" t="n">
        <v>1</v>
      </c>
      <c r="G115" s="8" t="s">
        <v>365</v>
      </c>
      <c r="H115" s="8" t="n">
        <v>1</v>
      </c>
      <c r="I115" s="8" t="s">
        <v>362</v>
      </c>
      <c r="J115" s="8" t="n">
        <v>1</v>
      </c>
      <c r="K115" s="8" t="s">
        <v>172</v>
      </c>
      <c r="L115" s="8" t="n">
        <v>1</v>
      </c>
      <c r="M115" s="8" t="n">
        <v>8</v>
      </c>
      <c r="N115" s="17" t="n">
        <f aca="false">F115*185+H115*195+J115*140+L115*120</f>
        <v>640</v>
      </c>
      <c r="O115" s="17" t="n">
        <f aca="false">D115*950</f>
        <v>2850</v>
      </c>
      <c r="P115" s="17" t="n">
        <f aca="false">O115-N115</f>
        <v>2210</v>
      </c>
      <c r="Q115" s="17" t="n">
        <f aca="false">IF(M115&gt;0,P115/M115,0)</f>
        <v>276.25</v>
      </c>
      <c r="R115" s="18" t="n">
        <v>3</v>
      </c>
      <c r="S115" s="18" t="n">
        <f aca="false">FLOOR(1000/R115,1)</f>
        <v>333</v>
      </c>
      <c r="T115" s="18" t="n">
        <f aca="false">IF(D115&gt;0, (P115/D115)*S115, 0)</f>
        <v>245310</v>
      </c>
      <c r="U115" s="18" t="n">
        <f aca="false">IF(M115&gt;0, T115/M115, 0)</f>
        <v>30663.75</v>
      </c>
    </row>
    <row r="116" customFormat="false" ht="15" hidden="false" customHeight="true" outlineLevel="0" collapsed="false">
      <c r="A116" s="8" t="s">
        <v>439</v>
      </c>
      <c r="B116" s="8" t="s">
        <v>419</v>
      </c>
      <c r="C116" s="8" t="s">
        <v>439</v>
      </c>
      <c r="D116" s="8" t="n">
        <v>1</v>
      </c>
      <c r="E116" s="8" t="s">
        <v>393</v>
      </c>
      <c r="F116" s="8" t="n">
        <v>1</v>
      </c>
      <c r="G116" s="8" t="s">
        <v>402</v>
      </c>
      <c r="H116" s="8" t="n">
        <v>1</v>
      </c>
      <c r="I116" s="8" t="s">
        <v>352</v>
      </c>
      <c r="J116" s="8" t="n">
        <v>1</v>
      </c>
      <c r="K116" s="8" t="s">
        <v>354</v>
      </c>
      <c r="L116" s="8" t="n">
        <v>1</v>
      </c>
      <c r="M116" s="8" t="n">
        <v>40</v>
      </c>
      <c r="N116" s="17" t="n">
        <f aca="false">F116*1500+H116*1800+J116*290+L116*210</f>
        <v>3800</v>
      </c>
      <c r="O116" s="17" t="n">
        <f aca="false">D116*8500</f>
        <v>8500</v>
      </c>
      <c r="P116" s="17" t="n">
        <f aca="false">O116-N116</f>
        <v>4700</v>
      </c>
      <c r="Q116" s="17" t="n">
        <f aca="false">IF(M116&gt;0,P116/M116,0)</f>
        <v>117.5</v>
      </c>
      <c r="R116" s="18" t="n">
        <v>12</v>
      </c>
      <c r="S116" s="18" t="n">
        <f aca="false">FLOOR(1000/R116,1)</f>
        <v>83</v>
      </c>
      <c r="T116" s="18" t="n">
        <f aca="false">IF(D116&gt;0, (P116/D116)*S116, 0)</f>
        <v>390100</v>
      </c>
      <c r="U116" s="18" t="n">
        <f aca="false">IF(M116&gt;0, T116/M116, 0)</f>
        <v>9752.5</v>
      </c>
    </row>
    <row r="117" customFormat="false" ht="15" hidden="false" customHeight="true" outlineLevel="0" collapsed="false">
      <c r="A117" s="8" t="s">
        <v>442</v>
      </c>
      <c r="B117" s="8" t="s">
        <v>419</v>
      </c>
      <c r="C117" s="8" t="s">
        <v>442</v>
      </c>
      <c r="D117" s="8" t="n">
        <v>1</v>
      </c>
      <c r="E117" s="8" t="s">
        <v>402</v>
      </c>
      <c r="F117" s="8" t="n">
        <v>1</v>
      </c>
      <c r="G117" s="8" t="s">
        <v>371</v>
      </c>
      <c r="H117" s="8" t="n">
        <v>1</v>
      </c>
      <c r="I117" s="8" t="s">
        <v>273</v>
      </c>
      <c r="J117" s="8" t="n">
        <v>1</v>
      </c>
      <c r="K117" s="8" t="s">
        <v>305</v>
      </c>
      <c r="L117" s="8" t="n">
        <v>1</v>
      </c>
      <c r="M117" s="8" t="n">
        <v>20</v>
      </c>
      <c r="N117" s="17" t="n">
        <f aca="false">F117*1800+H117*120+J117*185+L117*68</f>
        <v>2173</v>
      </c>
      <c r="O117" s="17" t="n">
        <f aca="false">D117*3200</f>
        <v>3200</v>
      </c>
      <c r="P117" s="17" t="n">
        <f aca="false">O117-N117</f>
        <v>1027</v>
      </c>
      <c r="Q117" s="17" t="n">
        <f aca="false">IF(M117&gt;0,P117/M117,0)</f>
        <v>51.35</v>
      </c>
      <c r="R117" s="18" t="n">
        <v>8</v>
      </c>
      <c r="S117" s="18" t="n">
        <f aca="false">FLOOR(1000/R117,1)</f>
        <v>125</v>
      </c>
      <c r="T117" s="18" t="n">
        <f aca="false">IF(D117&gt;0, (P117/D117)*S117, 0)</f>
        <v>128375</v>
      </c>
      <c r="U117" s="18" t="n">
        <f aca="false">IF(M117&gt;0, T117/M117, 0)</f>
        <v>6418.75</v>
      </c>
    </row>
    <row r="118" customFormat="false" ht="15" hidden="false" customHeight="true" outlineLevel="0" collapsed="false">
      <c r="A118" s="8" t="s">
        <v>445</v>
      </c>
      <c r="B118" s="8" t="s">
        <v>419</v>
      </c>
      <c r="C118" s="8" t="s">
        <v>445</v>
      </c>
      <c r="D118" s="8" t="n">
        <v>2</v>
      </c>
      <c r="E118" s="8" t="s">
        <v>411</v>
      </c>
      <c r="F118" s="8" t="n">
        <v>1</v>
      </c>
      <c r="G118" s="8" t="s">
        <v>414</v>
      </c>
      <c r="H118" s="8" t="n">
        <v>1</v>
      </c>
      <c r="I118" s="8" t="s">
        <v>416</v>
      </c>
      <c r="J118" s="8" t="n">
        <v>1</v>
      </c>
      <c r="K118" s="8" t="s">
        <v>172</v>
      </c>
      <c r="L118" s="8" t="n">
        <v>1</v>
      </c>
      <c r="M118" s="8" t="n">
        <v>16</v>
      </c>
      <c r="N118" s="17" t="n">
        <f aca="false">F118*350+H118*280+J118*320+L118*120</f>
        <v>1070</v>
      </c>
      <c r="O118" s="17" t="n">
        <f aca="false">D118*1200</f>
        <v>2400</v>
      </c>
      <c r="P118" s="17" t="n">
        <f aca="false">O118-N118</f>
        <v>1330</v>
      </c>
      <c r="Q118" s="17" t="n">
        <f aca="false">IF(M118&gt;0,P118/M118,0)</f>
        <v>83.125</v>
      </c>
      <c r="R118" s="18" t="n">
        <v>5</v>
      </c>
      <c r="S118" s="18" t="n">
        <f aca="false">FLOOR(1000/R118,1)</f>
        <v>200</v>
      </c>
      <c r="T118" s="18" t="n">
        <f aca="false">IF(D118&gt;0, (P118/D118)*S118, 0)</f>
        <v>133000</v>
      </c>
      <c r="U118" s="18" t="n">
        <f aca="false">IF(M118&gt;0, T118/M118, 0)</f>
        <v>8312.5</v>
      </c>
    </row>
    <row r="119" customFormat="false" ht="15" hidden="false" customHeight="true" outlineLevel="0" collapsed="false">
      <c r="A119" s="8" t="s">
        <v>448</v>
      </c>
      <c r="B119" s="8" t="s">
        <v>419</v>
      </c>
      <c r="C119" s="8" t="s">
        <v>448</v>
      </c>
      <c r="D119" s="8" t="n">
        <v>1</v>
      </c>
      <c r="E119" s="8" t="s">
        <v>445</v>
      </c>
      <c r="F119" s="8" t="n">
        <v>1</v>
      </c>
      <c r="G119" s="8" t="s">
        <v>359</v>
      </c>
      <c r="H119" s="8" t="n">
        <v>1</v>
      </c>
      <c r="I119" s="8" t="s">
        <v>365</v>
      </c>
      <c r="J119" s="8" t="n">
        <v>1</v>
      </c>
      <c r="K119" s="8" t="s">
        <v>362</v>
      </c>
      <c r="L119" s="8" t="n">
        <v>1</v>
      </c>
      <c r="M119" s="8" t="n">
        <v>24</v>
      </c>
      <c r="N119" s="17" t="n">
        <f aca="false">F119*1200+H119*185+J119*195+L119*140</f>
        <v>1720</v>
      </c>
      <c r="O119" s="17" t="n">
        <f aca="false">D119*1800</f>
        <v>1800</v>
      </c>
      <c r="P119" s="17" t="n">
        <f aca="false">O119-N119</f>
        <v>80</v>
      </c>
      <c r="Q119" s="17" t="n">
        <f aca="false">IF(M119&gt;0,P119/M119,0)</f>
        <v>3.33333333333333</v>
      </c>
      <c r="R119" s="18" t="n">
        <v>8</v>
      </c>
      <c r="S119" s="18" t="n">
        <f aca="false">FLOOR(1000/R119,1)</f>
        <v>125</v>
      </c>
      <c r="T119" s="18" t="n">
        <f aca="false">IF(D119&gt;0, (P119/D119)*S119, 0)</f>
        <v>10000</v>
      </c>
      <c r="U119" s="18" t="n">
        <f aca="false">IF(M119&gt;0, T119/M119, 0)</f>
        <v>416.666666666667</v>
      </c>
    </row>
  </sheetData>
  <autoFilter ref="A1:U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60"/>
  </cols>
  <sheetData>
    <row r="1" customFormat="false" ht="26.25" hidden="false" customHeight="true" outlineLevel="0" collapsed="false">
      <c r="A1" s="2" t="s">
        <v>2</v>
      </c>
      <c r="B1" s="2" t="s">
        <v>470</v>
      </c>
      <c r="C1" s="2" t="s">
        <v>471</v>
      </c>
      <c r="D1" s="2" t="s">
        <v>472</v>
      </c>
      <c r="E1" s="2" t="s">
        <v>473</v>
      </c>
      <c r="F1" s="2" t="s">
        <v>474</v>
      </c>
      <c r="G1" s="2" t="s">
        <v>475</v>
      </c>
      <c r="H1" s="2" t="s">
        <v>476</v>
      </c>
      <c r="I1" s="2" t="s">
        <v>477</v>
      </c>
    </row>
    <row r="2" customFormat="false" ht="15" hidden="false" customHeight="true" outlineLevel="0" collapsed="false">
      <c r="A2" s="4" t="s">
        <v>478</v>
      </c>
      <c r="B2" s="4" t="n">
        <v>2</v>
      </c>
      <c r="C2" s="4" t="n">
        <v>10</v>
      </c>
      <c r="D2" s="4" t="n">
        <v>0</v>
      </c>
      <c r="E2" s="4" t="n">
        <v>200</v>
      </c>
      <c r="F2" s="4" t="s">
        <v>110</v>
      </c>
      <c r="G2" s="4" t="n">
        <v>25000</v>
      </c>
      <c r="H2" s="4" t="n">
        <v>0</v>
      </c>
      <c r="I2" s="4" t="s">
        <v>479</v>
      </c>
    </row>
    <row r="3" customFormat="false" ht="15" hidden="false" customHeight="true" outlineLevel="0" collapsed="false">
      <c r="A3" s="5" t="s">
        <v>201</v>
      </c>
      <c r="B3" s="5" t="n">
        <v>2</v>
      </c>
      <c r="C3" s="5" t="n">
        <v>20</v>
      </c>
      <c r="D3" s="5" t="n">
        <v>1</v>
      </c>
      <c r="E3" s="5" t="n">
        <v>500</v>
      </c>
      <c r="F3" s="5" t="s">
        <v>201</v>
      </c>
      <c r="G3" s="5" t="n">
        <v>50000</v>
      </c>
      <c r="H3" s="5" t="n">
        <v>2</v>
      </c>
      <c r="I3" s="5" t="s">
        <v>480</v>
      </c>
    </row>
    <row r="4" customFormat="false" ht="15" hidden="false" customHeight="true" outlineLevel="0" collapsed="false">
      <c r="A4" s="6" t="s">
        <v>337</v>
      </c>
      <c r="B4" s="6" t="n">
        <v>3</v>
      </c>
      <c r="C4" s="6" t="n">
        <v>30</v>
      </c>
      <c r="D4" s="6" t="n">
        <v>1</v>
      </c>
      <c r="E4" s="6" t="n">
        <v>1000</v>
      </c>
      <c r="F4" s="6" t="s">
        <v>337</v>
      </c>
      <c r="G4" s="6" t="n">
        <v>100000</v>
      </c>
      <c r="H4" s="6" t="n">
        <v>4</v>
      </c>
      <c r="I4" s="6" t="s">
        <v>481</v>
      </c>
    </row>
    <row r="5" customFormat="false" ht="15" hidden="false" customHeight="true" outlineLevel="0" collapsed="false">
      <c r="A5" s="7" t="s">
        <v>380</v>
      </c>
      <c r="B5" s="7" t="n">
        <v>3</v>
      </c>
      <c r="C5" s="7" t="n">
        <v>40</v>
      </c>
      <c r="D5" s="7" t="n">
        <v>2</v>
      </c>
      <c r="E5" s="7" t="n">
        <v>2000</v>
      </c>
      <c r="F5" s="7" t="s">
        <v>380</v>
      </c>
      <c r="G5" s="7" t="n">
        <v>200000</v>
      </c>
      <c r="H5" s="7" t="n">
        <v>6</v>
      </c>
      <c r="I5" s="7" t="s">
        <v>482</v>
      </c>
    </row>
    <row r="6" customFormat="false" ht="15" hidden="false" customHeight="true" outlineLevel="0" collapsed="false">
      <c r="A6" s="8" t="s">
        <v>419</v>
      </c>
      <c r="B6" s="8" t="n">
        <v>4</v>
      </c>
      <c r="C6" s="8" t="n">
        <v>50</v>
      </c>
      <c r="D6" s="8" t="n">
        <v>2</v>
      </c>
      <c r="E6" s="8" t="n">
        <v>3000</v>
      </c>
      <c r="F6" s="8" t="s">
        <v>483</v>
      </c>
      <c r="G6" s="8" t="n">
        <v>400000</v>
      </c>
      <c r="H6" s="8" t="n">
        <v>10</v>
      </c>
      <c r="I6" s="8" t="s">
        <v>484</v>
      </c>
    </row>
    <row r="7" customFormat="false" ht="15" hidden="false" customHeight="true" outlineLevel="0" collapsed="false">
      <c r="A7" s="8" t="s">
        <v>485</v>
      </c>
      <c r="B7" s="8" t="n">
        <v>4</v>
      </c>
      <c r="C7" s="8" t="n">
        <v>60</v>
      </c>
      <c r="D7" s="8" t="n">
        <v>3</v>
      </c>
      <c r="E7" s="8" t="n">
        <v>4000</v>
      </c>
      <c r="F7" s="8" t="s">
        <v>483</v>
      </c>
      <c r="G7" s="8" t="n">
        <v>600000</v>
      </c>
      <c r="H7" s="8" t="n">
        <v>14</v>
      </c>
      <c r="I7" s="8" t="s">
        <v>486</v>
      </c>
    </row>
    <row r="8" customFormat="false" ht="15" hidden="false" customHeight="true" outlineLevel="0" collapsed="false">
      <c r="A8" s="8" t="s">
        <v>487</v>
      </c>
      <c r="B8" s="8" t="n">
        <v>5</v>
      </c>
      <c r="C8" s="8" t="n">
        <v>70</v>
      </c>
      <c r="D8" s="8" t="n">
        <v>3</v>
      </c>
      <c r="E8" s="8" t="n">
        <v>5000</v>
      </c>
      <c r="F8" s="8" t="s">
        <v>483</v>
      </c>
      <c r="G8" s="8" t="n">
        <v>900000</v>
      </c>
      <c r="H8" s="8" t="n">
        <v>18</v>
      </c>
      <c r="I8" s="8" t="s">
        <v>488</v>
      </c>
    </row>
    <row r="9" customFormat="false" ht="15" hidden="false" customHeight="true" outlineLevel="0" collapsed="false">
      <c r="A9" s="8" t="s">
        <v>489</v>
      </c>
      <c r="B9" s="8" t="n">
        <v>5</v>
      </c>
      <c r="C9" s="8" t="n">
        <v>80</v>
      </c>
      <c r="D9" s="8" t="n">
        <v>4</v>
      </c>
      <c r="E9" s="8" t="n">
        <v>7000</v>
      </c>
      <c r="F9" s="8" t="s">
        <v>483</v>
      </c>
      <c r="G9" s="8" t="n">
        <v>1300000</v>
      </c>
      <c r="H9" s="8" t="n">
        <v>24</v>
      </c>
      <c r="I9" s="8" t="s">
        <v>490</v>
      </c>
    </row>
    <row r="10" customFormat="false" ht="15" hidden="false" customHeight="true" outlineLevel="0" collapsed="false">
      <c r="A10" s="8" t="s">
        <v>491</v>
      </c>
      <c r="B10" s="8" t="n">
        <v>5</v>
      </c>
      <c r="C10" s="8" t="n">
        <v>90</v>
      </c>
      <c r="D10" s="8" t="n">
        <v>4</v>
      </c>
      <c r="E10" s="8" t="n">
        <v>9000</v>
      </c>
      <c r="F10" s="8" t="s">
        <v>483</v>
      </c>
      <c r="G10" s="8" t="n">
        <v>1800000</v>
      </c>
      <c r="H10" s="8" t="n">
        <v>36</v>
      </c>
      <c r="I10" s="8" t="s">
        <v>492</v>
      </c>
    </row>
    <row r="11" customFormat="false" ht="15" hidden="false" customHeight="true" outlineLevel="0" collapsed="false">
      <c r="A11" s="8" t="s">
        <v>493</v>
      </c>
      <c r="B11" s="8" t="n">
        <v>5</v>
      </c>
      <c r="C11" s="8" t="n">
        <v>100</v>
      </c>
      <c r="D11" s="8" t="n">
        <v>5</v>
      </c>
      <c r="E11" s="8" t="n">
        <v>12000</v>
      </c>
      <c r="F11" s="8" t="s">
        <v>483</v>
      </c>
      <c r="G11" s="8" t="n">
        <v>2500000</v>
      </c>
      <c r="H11" s="8" t="n">
        <v>48</v>
      </c>
      <c r="I11" s="8" t="s">
        <v>494</v>
      </c>
    </row>
    <row r="13" customFormat="false" ht="15" hidden="false" customHeight="true" outlineLevel="0" collapsed="false">
      <c r="A13" s="19" t="s">
        <v>495</v>
      </c>
      <c r="B13" s="19"/>
      <c r="C13" s="19"/>
      <c r="D13" s="19"/>
      <c r="E13" s="19"/>
      <c r="F13" s="19"/>
      <c r="G13" s="19" t="n">
        <f aca="false">SUM(G2:G11)</f>
        <v>7875000</v>
      </c>
      <c r="H13" s="19" t="n">
        <f aca="false">SUM(H2:H11)</f>
        <v>162</v>
      </c>
      <c r="I1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N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10" min="9" style="0" width="20"/>
  </cols>
  <sheetData>
    <row r="1" customFormat="false" ht="15" hidden="false" customHeight="false" outlineLevel="0" collapsed="false">
      <c r="A1" s="20" t="s">
        <v>496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39.55" hidden="false" customHeight="false" outlineLevel="0" collapsed="false">
      <c r="A2" s="2" t="s">
        <v>2</v>
      </c>
      <c r="B2" s="2" t="s">
        <v>497</v>
      </c>
      <c r="C2" s="2" t="s">
        <v>498</v>
      </c>
      <c r="D2" s="2" t="s">
        <v>499</v>
      </c>
      <c r="E2" s="2" t="s">
        <v>500</v>
      </c>
      <c r="F2" s="2" t="s">
        <v>501</v>
      </c>
      <c r="G2" s="2" t="s">
        <v>502</v>
      </c>
      <c r="H2" s="2" t="s">
        <v>503</v>
      </c>
      <c r="I2" s="2" t="s">
        <v>504</v>
      </c>
      <c r="J2" s="2" t="s">
        <v>505</v>
      </c>
      <c r="K2" s="2" t="s">
        <v>506</v>
      </c>
      <c r="L2" s="2" t="s">
        <v>507</v>
      </c>
      <c r="M2" s="2" t="s">
        <v>508</v>
      </c>
      <c r="N2" s="2" t="s">
        <v>509</v>
      </c>
    </row>
    <row r="3" customFormat="false" ht="15" hidden="false" customHeight="false" outlineLevel="0" collapsed="false">
      <c r="A3" s="22" t="s">
        <v>10</v>
      </c>
      <c r="B3" s="22" t="n">
        <v>38</v>
      </c>
      <c r="C3" s="22" t="n">
        <v>0</v>
      </c>
      <c r="D3" s="22" t="n">
        <v>16</v>
      </c>
      <c r="E3" s="22" t="n">
        <v>0</v>
      </c>
      <c r="F3" s="22" t="n">
        <v>0</v>
      </c>
      <c r="G3" s="22" t="n">
        <v>0</v>
      </c>
      <c r="H3" s="22" t="n">
        <v>0</v>
      </c>
      <c r="I3" s="22" t="n">
        <v>0</v>
      </c>
      <c r="J3" s="22" t="n">
        <v>0</v>
      </c>
      <c r="K3" s="22" t="n">
        <v>0</v>
      </c>
      <c r="L3" s="22" t="n">
        <v>0</v>
      </c>
      <c r="M3" s="22" t="n">
        <v>0</v>
      </c>
      <c r="N3" s="22" t="n">
        <v>0</v>
      </c>
    </row>
    <row r="4" customFormat="false" ht="15" hidden="false" customHeight="false" outlineLevel="0" collapsed="false">
      <c r="A4" s="23" t="s">
        <v>110</v>
      </c>
      <c r="B4" s="23" t="n">
        <v>30</v>
      </c>
      <c r="C4" s="23" t="n">
        <v>30</v>
      </c>
      <c r="D4" s="23" t="n">
        <v>49</v>
      </c>
      <c r="E4" s="23" t="n">
        <v>2</v>
      </c>
      <c r="F4" s="23" t="n">
        <v>3.2</v>
      </c>
      <c r="G4" s="23" t="n">
        <v>211</v>
      </c>
      <c r="H4" s="23" t="n">
        <v>93</v>
      </c>
      <c r="I4" s="23" t="n">
        <v>9119</v>
      </c>
      <c r="J4" s="23" t="n">
        <v>71937</v>
      </c>
      <c r="K4" s="23" t="n">
        <v>748</v>
      </c>
      <c r="L4" s="23" t="n">
        <v>275</v>
      </c>
      <c r="M4" s="23" t="n">
        <v>8</v>
      </c>
      <c r="N4" s="23" t="n">
        <v>71189</v>
      </c>
    </row>
    <row r="5" customFormat="false" ht="15" hidden="false" customHeight="false" outlineLevel="0" collapsed="false">
      <c r="A5" s="24" t="s">
        <v>201</v>
      </c>
      <c r="B5" s="24" t="n">
        <v>50</v>
      </c>
      <c r="C5" s="24" t="n">
        <v>50</v>
      </c>
      <c r="D5" s="24" t="n">
        <v>94</v>
      </c>
      <c r="E5" s="24" t="n">
        <v>2.1</v>
      </c>
      <c r="F5" s="24" t="n">
        <v>4.3</v>
      </c>
      <c r="G5" s="24" t="n">
        <v>339</v>
      </c>
      <c r="H5" s="24" t="n">
        <v>121</v>
      </c>
      <c r="I5" s="24" t="n">
        <v>10250</v>
      </c>
      <c r="J5" s="24" t="n">
        <v>54722</v>
      </c>
      <c r="K5" s="24" t="n">
        <v>-729</v>
      </c>
      <c r="L5" s="24" t="n">
        <v>354</v>
      </c>
      <c r="M5" s="24" t="n">
        <v>-6</v>
      </c>
      <c r="N5" s="24" t="n">
        <v>55451</v>
      </c>
    </row>
    <row r="6" customFormat="false" ht="15" hidden="false" customHeight="false" outlineLevel="0" collapsed="false">
      <c r="A6" s="25" t="s">
        <v>337</v>
      </c>
      <c r="B6" s="25" t="n">
        <v>15</v>
      </c>
      <c r="C6" s="25" t="n">
        <v>15</v>
      </c>
      <c r="D6" s="25" t="n">
        <v>269</v>
      </c>
      <c r="E6" s="25" t="n">
        <v>3</v>
      </c>
      <c r="F6" s="25" t="n">
        <v>7.1</v>
      </c>
      <c r="G6" s="25" t="n">
        <v>423</v>
      </c>
      <c r="H6" s="25" t="n">
        <v>75</v>
      </c>
      <c r="I6" s="25" t="n">
        <v>10841</v>
      </c>
      <c r="J6" s="25" t="n">
        <v>40467</v>
      </c>
      <c r="K6" s="25" t="n">
        <v>-2148</v>
      </c>
      <c r="L6" s="25" t="n">
        <v>193</v>
      </c>
      <c r="M6" s="25" t="n">
        <v>-34</v>
      </c>
      <c r="N6" s="25" t="n">
        <v>42615</v>
      </c>
    </row>
    <row r="7" customFormat="false" ht="15" hidden="false" customHeight="false" outlineLevel="0" collapsed="false">
      <c r="A7" s="26" t="s">
        <v>380</v>
      </c>
      <c r="B7" s="26" t="n">
        <v>13</v>
      </c>
      <c r="C7" s="26" t="n">
        <v>13</v>
      </c>
      <c r="D7" s="26" t="n">
        <v>841</v>
      </c>
      <c r="E7" s="26" t="n">
        <v>3</v>
      </c>
      <c r="F7" s="26" t="n">
        <v>12.3</v>
      </c>
      <c r="G7" s="26" t="n">
        <v>579</v>
      </c>
      <c r="H7" s="26" t="n">
        <v>58</v>
      </c>
      <c r="I7" s="26" t="n">
        <v>7062</v>
      </c>
      <c r="J7" s="26" t="n">
        <v>24375</v>
      </c>
      <c r="K7" s="26" t="n">
        <v>-1443</v>
      </c>
      <c r="L7" s="26" t="n">
        <v>121</v>
      </c>
      <c r="M7" s="26" t="n">
        <v>-29</v>
      </c>
      <c r="N7" s="26" t="n">
        <v>25818</v>
      </c>
    </row>
    <row r="8" customFormat="false" ht="15" hidden="false" customHeight="false" outlineLevel="0" collapsed="false">
      <c r="A8" s="27" t="s">
        <v>419</v>
      </c>
      <c r="B8" s="27" t="n">
        <v>10</v>
      </c>
      <c r="C8" s="27" t="n">
        <v>10</v>
      </c>
      <c r="D8" s="27" t="n">
        <v>4395</v>
      </c>
      <c r="E8" s="27" t="n">
        <v>4</v>
      </c>
      <c r="F8" s="27" t="n">
        <v>26.2</v>
      </c>
      <c r="G8" s="27" t="n">
        <v>2867</v>
      </c>
      <c r="H8" s="27" t="n">
        <v>121</v>
      </c>
      <c r="I8" s="27" t="n">
        <v>90341</v>
      </c>
      <c r="J8" s="27" t="n">
        <v>814375</v>
      </c>
      <c r="K8" s="27" t="n">
        <v>417</v>
      </c>
      <c r="L8" s="27" t="n">
        <v>326</v>
      </c>
      <c r="M8" s="27" t="n">
        <v>3</v>
      </c>
      <c r="N8" s="27" t="n">
        <v>813958</v>
      </c>
    </row>
    <row r="9" customFormat="false" ht="15" hidden="false" customHeight="false" outlineLevel="0" collapsed="false">
      <c r="A9" s="28" t="s">
        <v>510</v>
      </c>
      <c r="B9" s="28" t="n">
        <v>156</v>
      </c>
      <c r="C9" s="28" t="n">
        <v>118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1" customFormat="false" ht="15" hidden="false" customHeight="false" outlineLevel="0" collapsed="false">
      <c r="A11" s="20" t="s">
        <v>511</v>
      </c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15" hidden="false" customHeight="false" outlineLevel="0" collapsed="false">
      <c r="A12" s="2" t="s">
        <v>2</v>
      </c>
      <c r="B12" s="2" t="s">
        <v>512</v>
      </c>
      <c r="C12" s="2" t="s">
        <v>450</v>
      </c>
      <c r="D12" s="2" t="s">
        <v>513</v>
      </c>
      <c r="E12" s="2" t="s">
        <v>467</v>
      </c>
      <c r="F12" s="2" t="s">
        <v>461</v>
      </c>
      <c r="G12" s="2" t="s">
        <v>464</v>
      </c>
      <c r="H12" s="2" t="s">
        <v>514</v>
      </c>
      <c r="I12" s="2" t="s">
        <v>515</v>
      </c>
      <c r="J12" s="2" t="s">
        <v>516</v>
      </c>
    </row>
    <row r="13" customFormat="false" ht="15" hidden="false" customHeight="false" outlineLevel="0" collapsed="false">
      <c r="A13" s="23" t="s">
        <v>110</v>
      </c>
      <c r="B13" s="23" t="n">
        <v>1</v>
      </c>
      <c r="C13" s="23" t="s">
        <v>172</v>
      </c>
      <c r="D13" s="23" t="s">
        <v>517</v>
      </c>
      <c r="E13" s="23" t="n">
        <v>3333</v>
      </c>
      <c r="F13" s="23" t="n">
        <v>4</v>
      </c>
      <c r="G13" s="23" t="n">
        <v>259</v>
      </c>
      <c r="H13" s="23" t="n">
        <v>65</v>
      </c>
      <c r="I13" s="23" t="n">
        <v>287749</v>
      </c>
      <c r="J13" s="23" t="n">
        <v>71937</v>
      </c>
    </row>
    <row r="14" customFormat="false" ht="15" hidden="false" customHeight="false" outlineLevel="0" collapsed="false">
      <c r="A14" s="23" t="s">
        <v>110</v>
      </c>
      <c r="B14" s="23" t="n">
        <v>2</v>
      </c>
      <c r="C14" s="23" t="s">
        <v>153</v>
      </c>
      <c r="D14" s="23" t="s">
        <v>518</v>
      </c>
      <c r="E14" s="23" t="n">
        <v>2000</v>
      </c>
      <c r="F14" s="23" t="n">
        <v>2</v>
      </c>
      <c r="G14" s="23" t="n">
        <v>119</v>
      </c>
      <c r="H14" s="23" t="n">
        <v>60</v>
      </c>
      <c r="I14" s="23" t="n">
        <v>47600</v>
      </c>
      <c r="J14" s="23" t="n">
        <v>23800</v>
      </c>
    </row>
    <row r="15" customFormat="false" ht="15" hidden="false" customHeight="false" outlineLevel="0" collapsed="false">
      <c r="A15" s="23" t="s">
        <v>110</v>
      </c>
      <c r="B15" s="23" t="n">
        <v>3</v>
      </c>
      <c r="C15" s="23" t="s">
        <v>156</v>
      </c>
      <c r="D15" s="23" t="s">
        <v>519</v>
      </c>
      <c r="E15" s="23" t="n">
        <v>1666</v>
      </c>
      <c r="F15" s="23" t="n">
        <v>2</v>
      </c>
      <c r="G15" s="23" t="n">
        <v>228</v>
      </c>
      <c r="H15" s="23" t="n">
        <v>114</v>
      </c>
      <c r="I15" s="23" t="n">
        <v>47481</v>
      </c>
      <c r="J15" s="23" t="n">
        <v>23740</v>
      </c>
    </row>
    <row r="16" customFormat="false" ht="15" hidden="false" customHeight="false" outlineLevel="0" collapsed="false">
      <c r="A16" s="23" t="s">
        <v>110</v>
      </c>
      <c r="B16" s="23" t="n">
        <v>4</v>
      </c>
      <c r="C16" s="23" t="s">
        <v>170</v>
      </c>
      <c r="D16" s="23" t="s">
        <v>520</v>
      </c>
      <c r="E16" s="23" t="n">
        <v>1250</v>
      </c>
      <c r="F16" s="23" t="n">
        <v>1</v>
      </c>
      <c r="G16" s="23" t="n">
        <v>165</v>
      </c>
      <c r="H16" s="23" t="n">
        <v>165</v>
      </c>
      <c r="I16" s="23" t="n">
        <v>20625</v>
      </c>
      <c r="J16" s="23" t="n">
        <v>20625</v>
      </c>
    </row>
    <row r="17" customFormat="false" ht="15" hidden="false" customHeight="false" outlineLevel="0" collapsed="false">
      <c r="A17" s="23" t="s">
        <v>110</v>
      </c>
      <c r="B17" s="23" t="n">
        <v>5</v>
      </c>
      <c r="C17" s="23" t="s">
        <v>150</v>
      </c>
      <c r="D17" s="23" t="s">
        <v>518</v>
      </c>
      <c r="E17" s="23" t="n">
        <v>2000</v>
      </c>
      <c r="F17" s="23" t="n">
        <v>1.5</v>
      </c>
      <c r="G17" s="23" t="n">
        <v>283</v>
      </c>
      <c r="H17" s="23" t="n">
        <v>189</v>
      </c>
      <c r="I17" s="23" t="n">
        <v>28300</v>
      </c>
      <c r="J17" s="23" t="n">
        <v>18867</v>
      </c>
    </row>
    <row r="18" customFormat="false" ht="15" hidden="false" customHeight="false" outlineLevel="0" collapsed="false">
      <c r="A18" s="24" t="s">
        <v>201</v>
      </c>
      <c r="B18" s="24" t="n">
        <v>1</v>
      </c>
      <c r="C18" s="24" t="s">
        <v>225</v>
      </c>
      <c r="D18" s="24" t="s">
        <v>521</v>
      </c>
      <c r="E18" s="24" t="n">
        <v>2500</v>
      </c>
      <c r="F18" s="24" t="n">
        <v>3</v>
      </c>
      <c r="G18" s="24" t="n">
        <v>394</v>
      </c>
      <c r="H18" s="24" t="n">
        <v>131</v>
      </c>
      <c r="I18" s="24" t="n">
        <v>164167</v>
      </c>
      <c r="J18" s="24" t="n">
        <v>54722</v>
      </c>
    </row>
    <row r="19" customFormat="false" ht="15" hidden="false" customHeight="false" outlineLevel="0" collapsed="false">
      <c r="A19" s="24" t="s">
        <v>201</v>
      </c>
      <c r="B19" s="24" t="n">
        <v>2</v>
      </c>
      <c r="C19" s="24" t="s">
        <v>276</v>
      </c>
      <c r="D19" s="24" t="s">
        <v>518</v>
      </c>
      <c r="E19" s="24" t="n">
        <v>2000</v>
      </c>
      <c r="F19" s="24" t="n">
        <v>2</v>
      </c>
      <c r="G19" s="24" t="n">
        <v>647</v>
      </c>
      <c r="H19" s="24" t="n">
        <v>324</v>
      </c>
      <c r="I19" s="24" t="n">
        <v>86267</v>
      </c>
      <c r="J19" s="24" t="n">
        <v>43133</v>
      </c>
    </row>
    <row r="20" customFormat="false" ht="15" hidden="false" customHeight="false" outlineLevel="0" collapsed="false">
      <c r="A20" s="24" t="s">
        <v>201</v>
      </c>
      <c r="B20" s="24" t="n">
        <v>3</v>
      </c>
      <c r="C20" s="24" t="s">
        <v>319</v>
      </c>
      <c r="D20" s="24" t="s">
        <v>519</v>
      </c>
      <c r="E20" s="24" t="n">
        <v>1666</v>
      </c>
      <c r="F20" s="24" t="n">
        <v>2</v>
      </c>
      <c r="G20" s="24" t="n">
        <v>515</v>
      </c>
      <c r="H20" s="24" t="n">
        <v>258</v>
      </c>
      <c r="I20" s="24" t="n">
        <v>85799</v>
      </c>
      <c r="J20" s="24" t="n">
        <v>42900</v>
      </c>
    </row>
    <row r="21" customFormat="false" ht="15" hidden="false" customHeight="false" outlineLevel="0" collapsed="false">
      <c r="A21" s="24" t="s">
        <v>201</v>
      </c>
      <c r="B21" s="24" t="n">
        <v>4</v>
      </c>
      <c r="C21" s="24" t="s">
        <v>236</v>
      </c>
      <c r="D21" s="24" t="s">
        <v>518</v>
      </c>
      <c r="E21" s="24" t="n">
        <v>2000</v>
      </c>
      <c r="F21" s="24" t="n">
        <v>2</v>
      </c>
      <c r="G21" s="24" t="n">
        <v>206</v>
      </c>
      <c r="H21" s="24" t="n">
        <v>103</v>
      </c>
      <c r="I21" s="24" t="n">
        <v>51500</v>
      </c>
      <c r="J21" s="24" t="n">
        <v>25750</v>
      </c>
    </row>
    <row r="22" customFormat="false" ht="15" hidden="false" customHeight="false" outlineLevel="0" collapsed="false">
      <c r="A22" s="24" t="s">
        <v>201</v>
      </c>
      <c r="B22" s="24" t="n">
        <v>5</v>
      </c>
      <c r="C22" s="24" t="s">
        <v>322</v>
      </c>
      <c r="D22" s="24" t="s">
        <v>522</v>
      </c>
      <c r="E22" s="24" t="n">
        <v>1000</v>
      </c>
      <c r="F22" s="24" t="n">
        <v>4</v>
      </c>
      <c r="G22" s="24" t="n">
        <v>384</v>
      </c>
      <c r="H22" s="24" t="n">
        <v>96</v>
      </c>
      <c r="I22" s="24" t="n">
        <v>96000</v>
      </c>
      <c r="J22" s="24" t="n">
        <v>24000</v>
      </c>
    </row>
    <row r="23" customFormat="false" ht="15" hidden="false" customHeight="false" outlineLevel="0" collapsed="false">
      <c r="A23" s="25" t="s">
        <v>337</v>
      </c>
      <c r="B23" s="25" t="n">
        <v>1</v>
      </c>
      <c r="C23" s="25" t="s">
        <v>359</v>
      </c>
      <c r="D23" s="25" t="s">
        <v>518</v>
      </c>
      <c r="E23" s="25" t="n">
        <v>2000</v>
      </c>
      <c r="F23" s="25" t="n">
        <v>6</v>
      </c>
      <c r="G23" s="25" t="n">
        <v>607</v>
      </c>
      <c r="H23" s="25" t="n">
        <v>101</v>
      </c>
      <c r="I23" s="25" t="n">
        <v>242800</v>
      </c>
      <c r="J23" s="25" t="n">
        <v>40467</v>
      </c>
    </row>
    <row r="24" customFormat="false" ht="15" hidden="false" customHeight="false" outlineLevel="0" collapsed="false">
      <c r="A24" s="25" t="s">
        <v>337</v>
      </c>
      <c r="B24" s="25" t="n">
        <v>2</v>
      </c>
      <c r="C24" s="25" t="s">
        <v>368</v>
      </c>
      <c r="D24" s="25" t="s">
        <v>522</v>
      </c>
      <c r="E24" s="25" t="n">
        <v>1000</v>
      </c>
      <c r="F24" s="25" t="n">
        <v>8</v>
      </c>
      <c r="G24" s="25" t="n">
        <v>802</v>
      </c>
      <c r="H24" s="25" t="n">
        <v>100</v>
      </c>
      <c r="I24" s="25" t="n">
        <v>267333</v>
      </c>
      <c r="J24" s="25" t="n">
        <v>33417</v>
      </c>
    </row>
    <row r="25" customFormat="false" ht="15" hidden="false" customHeight="false" outlineLevel="0" collapsed="false">
      <c r="A25" s="25" t="s">
        <v>337</v>
      </c>
      <c r="B25" s="25" t="n">
        <v>3</v>
      </c>
      <c r="C25" s="25" t="s">
        <v>356</v>
      </c>
      <c r="D25" s="25" t="s">
        <v>523</v>
      </c>
      <c r="E25" s="25" t="n">
        <v>666</v>
      </c>
      <c r="F25" s="25" t="n">
        <v>4</v>
      </c>
      <c r="G25" s="25" t="n">
        <v>700</v>
      </c>
      <c r="H25" s="25" t="n">
        <v>175</v>
      </c>
      <c r="I25" s="25" t="n">
        <v>77700</v>
      </c>
      <c r="J25" s="25" t="n">
        <v>19425</v>
      </c>
    </row>
    <row r="26" customFormat="false" ht="15" hidden="false" customHeight="false" outlineLevel="0" collapsed="false">
      <c r="A26" s="25" t="s">
        <v>337</v>
      </c>
      <c r="B26" s="25" t="n">
        <v>4</v>
      </c>
      <c r="C26" s="25" t="s">
        <v>352</v>
      </c>
      <c r="D26" s="25" t="s">
        <v>522</v>
      </c>
      <c r="E26" s="25" t="n">
        <v>1000</v>
      </c>
      <c r="F26" s="25" t="n">
        <v>10</v>
      </c>
      <c r="G26" s="25" t="n">
        <v>543</v>
      </c>
      <c r="H26" s="25" t="n">
        <v>54</v>
      </c>
      <c r="I26" s="25" t="n">
        <v>181000</v>
      </c>
      <c r="J26" s="25" t="n">
        <v>18100</v>
      </c>
    </row>
    <row r="27" customFormat="false" ht="15" hidden="false" customHeight="false" outlineLevel="0" collapsed="false">
      <c r="A27" s="25" t="s">
        <v>337</v>
      </c>
      <c r="B27" s="25" t="n">
        <v>5</v>
      </c>
      <c r="C27" s="25" t="s">
        <v>362</v>
      </c>
      <c r="D27" s="25" t="s">
        <v>524</v>
      </c>
      <c r="E27" s="25" t="n">
        <v>500</v>
      </c>
      <c r="F27" s="25" t="n">
        <v>4</v>
      </c>
      <c r="G27" s="25" t="n">
        <v>411</v>
      </c>
      <c r="H27" s="25" t="n">
        <v>103</v>
      </c>
      <c r="I27" s="25" t="n">
        <v>51375</v>
      </c>
      <c r="J27" s="25" t="n">
        <v>12844</v>
      </c>
    </row>
    <row r="28" customFormat="false" ht="15" hidden="false" customHeight="false" outlineLevel="0" collapsed="false">
      <c r="A28" s="26" t="s">
        <v>380</v>
      </c>
      <c r="B28" s="26" t="n">
        <v>1</v>
      </c>
      <c r="C28" s="26" t="s">
        <v>414</v>
      </c>
      <c r="D28" s="26" t="s">
        <v>522</v>
      </c>
      <c r="E28" s="26" t="n">
        <v>1000</v>
      </c>
      <c r="F28" s="26" t="n">
        <v>6</v>
      </c>
      <c r="G28" s="26" t="n">
        <v>585</v>
      </c>
      <c r="H28" s="26" t="n">
        <v>98</v>
      </c>
      <c r="I28" s="26" t="n">
        <v>146250</v>
      </c>
      <c r="J28" s="26" t="n">
        <v>24375</v>
      </c>
    </row>
    <row r="29" customFormat="false" ht="15" hidden="false" customHeight="false" outlineLevel="0" collapsed="false">
      <c r="A29" s="26" t="s">
        <v>380</v>
      </c>
      <c r="B29" s="26" t="n">
        <v>2</v>
      </c>
      <c r="C29" s="26" t="s">
        <v>411</v>
      </c>
      <c r="D29" s="26" t="s">
        <v>525</v>
      </c>
      <c r="E29" s="26" t="n">
        <v>400</v>
      </c>
      <c r="F29" s="26" t="n">
        <v>8</v>
      </c>
      <c r="G29" s="26" t="n">
        <v>845</v>
      </c>
      <c r="H29" s="26" t="n">
        <v>106</v>
      </c>
      <c r="I29" s="26" t="n">
        <v>112667</v>
      </c>
      <c r="J29" s="26" t="n">
        <v>14083</v>
      </c>
    </row>
    <row r="30" customFormat="false" ht="15" hidden="false" customHeight="false" outlineLevel="0" collapsed="false">
      <c r="A30" s="26" t="s">
        <v>380</v>
      </c>
      <c r="B30" s="26" t="n">
        <v>3</v>
      </c>
      <c r="C30" s="26" t="s">
        <v>387</v>
      </c>
      <c r="D30" s="26" t="s">
        <v>524</v>
      </c>
      <c r="E30" s="26" t="n">
        <v>500</v>
      </c>
      <c r="F30" s="26" t="n">
        <v>14</v>
      </c>
      <c r="G30" s="26" t="n">
        <v>340</v>
      </c>
      <c r="H30" s="26" t="n">
        <v>24</v>
      </c>
      <c r="I30" s="26" t="n">
        <v>170000</v>
      </c>
      <c r="J30" s="26" t="n">
        <v>12143</v>
      </c>
    </row>
    <row r="31" customFormat="false" ht="15" hidden="false" customHeight="false" outlineLevel="0" collapsed="false">
      <c r="A31" s="26" t="s">
        <v>380</v>
      </c>
      <c r="B31" s="26" t="n">
        <v>4</v>
      </c>
      <c r="C31" s="26" t="s">
        <v>399</v>
      </c>
      <c r="D31" s="26" t="s">
        <v>526</v>
      </c>
      <c r="E31" s="26" t="n">
        <v>166</v>
      </c>
      <c r="F31" s="26" t="n">
        <v>8</v>
      </c>
      <c r="G31" s="26" t="n">
        <v>966</v>
      </c>
      <c r="H31" s="26" t="n">
        <v>121</v>
      </c>
      <c r="I31" s="26" t="n">
        <v>80178</v>
      </c>
      <c r="J31" s="26" t="n">
        <v>10022</v>
      </c>
    </row>
    <row r="32" customFormat="false" ht="15" hidden="false" customHeight="false" outlineLevel="0" collapsed="false">
      <c r="A32" s="26" t="s">
        <v>380</v>
      </c>
      <c r="B32" s="26" t="n">
        <v>5</v>
      </c>
      <c r="C32" s="26" t="s">
        <v>416</v>
      </c>
      <c r="D32" s="26" t="s">
        <v>524</v>
      </c>
      <c r="E32" s="26" t="n">
        <v>500</v>
      </c>
      <c r="F32" s="26" t="n">
        <v>10</v>
      </c>
      <c r="G32" s="26" t="n">
        <v>490</v>
      </c>
      <c r="H32" s="26" t="n">
        <v>49</v>
      </c>
      <c r="I32" s="26" t="n">
        <v>81667</v>
      </c>
      <c r="J32" s="26" t="n">
        <v>8167</v>
      </c>
    </row>
    <row r="33" customFormat="false" ht="15" hidden="false" customHeight="false" outlineLevel="0" collapsed="false">
      <c r="A33" s="27" t="s">
        <v>419</v>
      </c>
      <c r="B33" s="27" t="n">
        <v>1</v>
      </c>
      <c r="C33" s="27" t="s">
        <v>432</v>
      </c>
      <c r="D33" s="27" t="s">
        <v>527</v>
      </c>
      <c r="E33" s="27" t="n">
        <v>5000</v>
      </c>
      <c r="F33" s="27" t="n">
        <v>16</v>
      </c>
      <c r="G33" s="27" t="n">
        <v>5212</v>
      </c>
      <c r="H33" s="27" t="n">
        <v>326</v>
      </c>
      <c r="I33" s="27" t="n">
        <v>13030000</v>
      </c>
      <c r="J33" s="27" t="n">
        <v>814375</v>
      </c>
    </row>
    <row r="34" customFormat="false" ht="15" hidden="false" customHeight="false" outlineLevel="0" collapsed="false">
      <c r="A34" s="27" t="s">
        <v>419</v>
      </c>
      <c r="B34" s="27" t="n">
        <v>2</v>
      </c>
      <c r="C34" s="27" t="s">
        <v>436</v>
      </c>
      <c r="D34" s="27" t="s">
        <v>528</v>
      </c>
      <c r="E34" s="27" t="n">
        <v>333</v>
      </c>
      <c r="F34" s="27" t="n">
        <v>8</v>
      </c>
      <c r="G34" s="27" t="n">
        <v>2210</v>
      </c>
      <c r="H34" s="27" t="n">
        <v>276</v>
      </c>
      <c r="I34" s="27" t="n">
        <v>245310</v>
      </c>
      <c r="J34" s="27" t="n">
        <v>30664</v>
      </c>
    </row>
    <row r="35" customFormat="false" ht="15" hidden="false" customHeight="false" outlineLevel="0" collapsed="false">
      <c r="A35" s="27" t="s">
        <v>419</v>
      </c>
      <c r="B35" s="27" t="n">
        <v>3</v>
      </c>
      <c r="C35" s="27" t="s">
        <v>425</v>
      </c>
      <c r="D35" s="27" t="s">
        <v>529</v>
      </c>
      <c r="E35" s="27" t="n">
        <v>200</v>
      </c>
      <c r="F35" s="27" t="n">
        <v>30</v>
      </c>
      <c r="G35" s="27" t="n">
        <v>2010</v>
      </c>
      <c r="H35" s="27" t="n">
        <v>67</v>
      </c>
      <c r="I35" s="27" t="n">
        <v>402000</v>
      </c>
      <c r="J35" s="27" t="n">
        <v>13400</v>
      </c>
    </row>
    <row r="36" customFormat="false" ht="15" hidden="false" customHeight="false" outlineLevel="0" collapsed="false">
      <c r="A36" s="27" t="s">
        <v>419</v>
      </c>
      <c r="B36" s="27" t="n">
        <v>4</v>
      </c>
      <c r="C36" s="27" t="s">
        <v>439</v>
      </c>
      <c r="D36" s="27" t="s">
        <v>530</v>
      </c>
      <c r="E36" s="27" t="n">
        <v>83</v>
      </c>
      <c r="F36" s="27" t="n">
        <v>40</v>
      </c>
      <c r="G36" s="27" t="n">
        <v>4700</v>
      </c>
      <c r="H36" s="27" t="n">
        <v>118</v>
      </c>
      <c r="I36" s="27" t="n">
        <v>390100</v>
      </c>
      <c r="J36" s="27" t="n">
        <v>9752</v>
      </c>
    </row>
    <row r="37" customFormat="false" ht="15" hidden="false" customHeight="false" outlineLevel="0" collapsed="false">
      <c r="A37" s="27" t="s">
        <v>419</v>
      </c>
      <c r="B37" s="27" t="n">
        <v>5</v>
      </c>
      <c r="C37" s="27" t="s">
        <v>445</v>
      </c>
      <c r="D37" s="27" t="s">
        <v>529</v>
      </c>
      <c r="E37" s="27" t="n">
        <v>200</v>
      </c>
      <c r="F37" s="27" t="n">
        <v>16</v>
      </c>
      <c r="G37" s="27" t="n">
        <v>1330</v>
      </c>
      <c r="H37" s="27" t="n">
        <v>83</v>
      </c>
      <c r="I37" s="27" t="n">
        <v>133000</v>
      </c>
      <c r="J37" s="27" t="n">
        <v>8312</v>
      </c>
    </row>
    <row r="39" customFormat="false" ht="15" hidden="false" customHeight="false" outlineLevel="0" collapsed="false">
      <c r="A39" s="20" t="s">
        <v>531</v>
      </c>
      <c r="B39" s="21"/>
      <c r="C39" s="21"/>
      <c r="D39" s="21"/>
      <c r="E39" s="21"/>
      <c r="F39" s="21"/>
      <c r="G39" s="21"/>
      <c r="H39" s="21"/>
      <c r="I39" s="21"/>
      <c r="J39" s="21"/>
    </row>
    <row r="40" customFormat="false" ht="15" hidden="false" customHeight="false" outlineLevel="0" collapsed="false">
      <c r="A40" s="2" t="s">
        <v>2</v>
      </c>
      <c r="B40" s="2" t="s">
        <v>512</v>
      </c>
      <c r="C40" s="2" t="s">
        <v>450</v>
      </c>
      <c r="D40" s="2" t="s">
        <v>513</v>
      </c>
      <c r="E40" s="2" t="s">
        <v>467</v>
      </c>
      <c r="F40" s="2" t="s">
        <v>461</v>
      </c>
      <c r="G40" s="2" t="s">
        <v>464</v>
      </c>
      <c r="H40" s="2" t="s">
        <v>514</v>
      </c>
      <c r="I40" s="2" t="s">
        <v>515</v>
      </c>
      <c r="J40" s="2" t="s">
        <v>516</v>
      </c>
    </row>
    <row r="41" customFormat="false" ht="15" hidden="false" customHeight="false" outlineLevel="0" collapsed="false">
      <c r="A41" s="23" t="s">
        <v>110</v>
      </c>
      <c r="B41" s="23" t="n">
        <v>1</v>
      </c>
      <c r="C41" s="23" t="s">
        <v>130</v>
      </c>
      <c r="D41" s="23" t="s">
        <v>532</v>
      </c>
      <c r="E41" s="23" t="n">
        <v>100</v>
      </c>
      <c r="F41" s="23" t="n">
        <v>2.5</v>
      </c>
      <c r="G41" s="23" t="n">
        <v>187</v>
      </c>
      <c r="H41" s="23" t="n">
        <v>75</v>
      </c>
      <c r="I41" s="23" t="n">
        <v>1870</v>
      </c>
      <c r="J41" s="23" t="n">
        <v>748</v>
      </c>
    </row>
    <row r="42" customFormat="false" ht="15" hidden="false" customHeight="false" outlineLevel="0" collapsed="false">
      <c r="A42" s="23" t="s">
        <v>110</v>
      </c>
      <c r="B42" s="23" t="n">
        <v>2</v>
      </c>
      <c r="C42" s="23" t="s">
        <v>145</v>
      </c>
      <c r="D42" s="23" t="s">
        <v>533</v>
      </c>
      <c r="E42" s="23" t="n">
        <v>125</v>
      </c>
      <c r="F42" s="23" t="n">
        <v>2</v>
      </c>
      <c r="G42" s="23" t="n">
        <v>128</v>
      </c>
      <c r="H42" s="23" t="n">
        <v>64</v>
      </c>
      <c r="I42" s="23" t="n">
        <v>2000</v>
      </c>
      <c r="J42" s="23" t="n">
        <v>1000</v>
      </c>
    </row>
    <row r="43" customFormat="false" ht="15" hidden="false" customHeight="false" outlineLevel="0" collapsed="false">
      <c r="A43" s="23" t="s">
        <v>110</v>
      </c>
      <c r="B43" s="23" t="n">
        <v>3</v>
      </c>
      <c r="C43" s="23" t="s">
        <v>126</v>
      </c>
      <c r="D43" s="23" t="s">
        <v>526</v>
      </c>
      <c r="E43" s="23" t="n">
        <v>166</v>
      </c>
      <c r="F43" s="23" t="n">
        <v>2</v>
      </c>
      <c r="G43" s="23" t="n">
        <v>158</v>
      </c>
      <c r="H43" s="23" t="n">
        <v>79</v>
      </c>
      <c r="I43" s="23" t="n">
        <v>2186</v>
      </c>
      <c r="J43" s="23" t="n">
        <v>1093</v>
      </c>
    </row>
    <row r="44" customFormat="false" ht="15" hidden="false" customHeight="false" outlineLevel="0" collapsed="false">
      <c r="A44" s="23" t="s">
        <v>110</v>
      </c>
      <c r="B44" s="23" t="n">
        <v>4</v>
      </c>
      <c r="C44" s="23" t="s">
        <v>117</v>
      </c>
      <c r="D44" s="23" t="s">
        <v>533</v>
      </c>
      <c r="E44" s="23" t="n">
        <v>125</v>
      </c>
      <c r="F44" s="23" t="n">
        <v>4</v>
      </c>
      <c r="G44" s="23" t="n">
        <v>185</v>
      </c>
      <c r="H44" s="23" t="n">
        <v>46</v>
      </c>
      <c r="I44" s="23" t="n">
        <v>4625</v>
      </c>
      <c r="J44" s="23" t="n">
        <v>1156</v>
      </c>
    </row>
    <row r="45" customFormat="false" ht="15" hidden="false" customHeight="false" outlineLevel="0" collapsed="false">
      <c r="A45" s="23" t="s">
        <v>110</v>
      </c>
      <c r="B45" s="23" t="n">
        <v>5</v>
      </c>
      <c r="C45" s="23" t="s">
        <v>197</v>
      </c>
      <c r="D45" s="23" t="s">
        <v>529</v>
      </c>
      <c r="E45" s="23" t="n">
        <v>200</v>
      </c>
      <c r="F45" s="23" t="n">
        <v>12</v>
      </c>
      <c r="G45" s="23" t="n">
        <v>99</v>
      </c>
      <c r="H45" s="23" t="n">
        <v>8</v>
      </c>
      <c r="I45" s="23" t="n">
        <v>19800</v>
      </c>
      <c r="J45" s="23" t="n">
        <v>1650</v>
      </c>
    </row>
    <row r="46" customFormat="false" ht="15" hidden="false" customHeight="false" outlineLevel="0" collapsed="false">
      <c r="A46" s="24" t="s">
        <v>201</v>
      </c>
      <c r="B46" s="24" t="n">
        <v>1</v>
      </c>
      <c r="C46" s="24" t="s">
        <v>259</v>
      </c>
      <c r="D46" s="24" t="s">
        <v>533</v>
      </c>
      <c r="E46" s="24" t="n">
        <v>125</v>
      </c>
      <c r="F46" s="24" t="n">
        <v>24</v>
      </c>
      <c r="G46" s="24" t="n">
        <v>-140</v>
      </c>
      <c r="H46" s="24" t="n">
        <v>-6</v>
      </c>
      <c r="I46" s="24" t="n">
        <v>-17500</v>
      </c>
      <c r="J46" s="24" t="n">
        <v>-729</v>
      </c>
    </row>
    <row r="47" customFormat="false" ht="15" hidden="false" customHeight="false" outlineLevel="0" collapsed="false">
      <c r="A47" s="24" t="s">
        <v>201</v>
      </c>
      <c r="B47" s="24" t="n">
        <v>2</v>
      </c>
      <c r="C47" s="24" t="s">
        <v>280</v>
      </c>
      <c r="D47" s="24" t="s">
        <v>534</v>
      </c>
      <c r="E47" s="24" t="n">
        <v>66</v>
      </c>
      <c r="F47" s="24" t="n">
        <v>5</v>
      </c>
      <c r="G47" s="24" t="n">
        <v>45</v>
      </c>
      <c r="H47" s="24" t="n">
        <v>9</v>
      </c>
      <c r="I47" s="24" t="n">
        <v>990</v>
      </c>
      <c r="J47" s="24" t="n">
        <v>198</v>
      </c>
    </row>
    <row r="48" customFormat="false" ht="15" hidden="false" customHeight="false" outlineLevel="0" collapsed="false">
      <c r="A48" s="24" t="s">
        <v>201</v>
      </c>
      <c r="B48" s="24" t="n">
        <v>3</v>
      </c>
      <c r="C48" s="24" t="s">
        <v>316</v>
      </c>
      <c r="D48" s="24" t="s">
        <v>528</v>
      </c>
      <c r="E48" s="24" t="n">
        <v>333</v>
      </c>
      <c r="F48" s="24" t="n">
        <v>10</v>
      </c>
      <c r="G48" s="24" t="n">
        <v>20</v>
      </c>
      <c r="H48" s="24" t="n">
        <v>2</v>
      </c>
      <c r="I48" s="24" t="n">
        <v>2220</v>
      </c>
      <c r="J48" s="24" t="n">
        <v>222</v>
      </c>
    </row>
    <row r="49" customFormat="false" ht="15" hidden="false" customHeight="false" outlineLevel="0" collapsed="false">
      <c r="A49" s="24" t="s">
        <v>201</v>
      </c>
      <c r="B49" s="24" t="n">
        <v>4</v>
      </c>
      <c r="C49" s="24" t="s">
        <v>203</v>
      </c>
      <c r="D49" s="24" t="s">
        <v>534</v>
      </c>
      <c r="E49" s="24" t="n">
        <v>66</v>
      </c>
      <c r="F49" s="24" t="n">
        <v>4</v>
      </c>
      <c r="G49" s="24" t="n">
        <v>283</v>
      </c>
      <c r="H49" s="24" t="n">
        <v>71</v>
      </c>
      <c r="I49" s="24" t="n">
        <v>2335</v>
      </c>
      <c r="J49" s="24" t="n">
        <v>584</v>
      </c>
    </row>
    <row r="50" customFormat="false" ht="15" hidden="false" customHeight="false" outlineLevel="0" collapsed="false">
      <c r="A50" s="24" t="s">
        <v>201</v>
      </c>
      <c r="B50" s="24" t="n">
        <v>5</v>
      </c>
      <c r="C50" s="24" t="s">
        <v>205</v>
      </c>
      <c r="D50" s="24" t="s">
        <v>532</v>
      </c>
      <c r="E50" s="24" t="n">
        <v>100</v>
      </c>
      <c r="F50" s="24" t="n">
        <v>6</v>
      </c>
      <c r="G50" s="24" t="n">
        <v>190</v>
      </c>
      <c r="H50" s="24" t="n">
        <v>32</v>
      </c>
      <c r="I50" s="24" t="n">
        <v>4750</v>
      </c>
      <c r="J50" s="24" t="n">
        <v>792</v>
      </c>
    </row>
    <row r="51" customFormat="false" ht="15" hidden="false" customHeight="false" outlineLevel="0" collapsed="false">
      <c r="A51" s="25" t="s">
        <v>337</v>
      </c>
      <c r="B51" s="25" t="n">
        <v>1</v>
      </c>
      <c r="C51" s="25" t="s">
        <v>342</v>
      </c>
      <c r="D51" s="25" t="s">
        <v>533</v>
      </c>
      <c r="E51" s="25" t="n">
        <v>125</v>
      </c>
      <c r="F51" s="25" t="n">
        <v>8</v>
      </c>
      <c r="G51" s="25" t="n">
        <v>-275</v>
      </c>
      <c r="H51" s="25" t="n">
        <v>-34</v>
      </c>
      <c r="I51" s="25" t="n">
        <v>-17188</v>
      </c>
      <c r="J51" s="25" t="n">
        <v>-2148</v>
      </c>
    </row>
    <row r="52" customFormat="false" ht="15" hidden="false" customHeight="false" outlineLevel="0" collapsed="false">
      <c r="A52" s="25" t="s">
        <v>337</v>
      </c>
      <c r="B52" s="25" t="n">
        <v>2</v>
      </c>
      <c r="C52" s="25" t="s">
        <v>336</v>
      </c>
      <c r="D52" s="25" t="s">
        <v>530</v>
      </c>
      <c r="E52" s="25" t="n">
        <v>83</v>
      </c>
      <c r="F52" s="25" t="n">
        <v>6</v>
      </c>
      <c r="G52" s="25" t="n">
        <v>296</v>
      </c>
      <c r="H52" s="25" t="n">
        <v>49</v>
      </c>
      <c r="I52" s="25" t="n">
        <v>6142</v>
      </c>
      <c r="J52" s="25" t="n">
        <v>1024</v>
      </c>
    </row>
    <row r="53" customFormat="false" ht="15" hidden="false" customHeight="false" outlineLevel="0" collapsed="false">
      <c r="A53" s="25" t="s">
        <v>337</v>
      </c>
      <c r="B53" s="25" t="n">
        <v>3</v>
      </c>
      <c r="C53" s="25" t="s">
        <v>340</v>
      </c>
      <c r="D53" s="25" t="s">
        <v>532</v>
      </c>
      <c r="E53" s="25" t="n">
        <v>100</v>
      </c>
      <c r="F53" s="25" t="n">
        <v>5</v>
      </c>
      <c r="G53" s="25" t="n">
        <v>376</v>
      </c>
      <c r="H53" s="25" t="n">
        <v>75</v>
      </c>
      <c r="I53" s="25" t="n">
        <v>9400</v>
      </c>
      <c r="J53" s="25" t="n">
        <v>1880</v>
      </c>
    </row>
    <row r="54" customFormat="false" ht="15" hidden="false" customHeight="false" outlineLevel="0" collapsed="false">
      <c r="A54" s="25" t="s">
        <v>337</v>
      </c>
      <c r="B54" s="25" t="n">
        <v>4</v>
      </c>
      <c r="C54" s="25" t="s">
        <v>373</v>
      </c>
      <c r="D54" s="25" t="s">
        <v>529</v>
      </c>
      <c r="E54" s="25" t="n">
        <v>200</v>
      </c>
      <c r="F54" s="25" t="n">
        <v>12</v>
      </c>
      <c r="G54" s="25" t="n">
        <v>247</v>
      </c>
      <c r="H54" s="25" t="n">
        <v>21</v>
      </c>
      <c r="I54" s="25" t="n">
        <v>24700</v>
      </c>
      <c r="J54" s="25" t="n">
        <v>2058</v>
      </c>
    </row>
    <row r="55" customFormat="false" ht="15" hidden="false" customHeight="false" outlineLevel="0" collapsed="false">
      <c r="A55" s="25" t="s">
        <v>337</v>
      </c>
      <c r="B55" s="25" t="n">
        <v>5</v>
      </c>
      <c r="C55" s="25" t="s">
        <v>349</v>
      </c>
      <c r="D55" s="25" t="s">
        <v>533</v>
      </c>
      <c r="E55" s="25" t="n">
        <v>125</v>
      </c>
      <c r="F55" s="25" t="n">
        <v>8</v>
      </c>
      <c r="G55" s="25" t="n">
        <v>471</v>
      </c>
      <c r="H55" s="25" t="n">
        <v>59</v>
      </c>
      <c r="I55" s="25" t="n">
        <v>29438</v>
      </c>
      <c r="J55" s="25" t="n">
        <v>3680</v>
      </c>
    </row>
    <row r="56" customFormat="false" ht="15" hidden="false" customHeight="false" outlineLevel="0" collapsed="false">
      <c r="A56" s="26" t="s">
        <v>380</v>
      </c>
      <c r="B56" s="26" t="n">
        <v>1</v>
      </c>
      <c r="C56" s="26" t="s">
        <v>396</v>
      </c>
      <c r="D56" s="26" t="s">
        <v>535</v>
      </c>
      <c r="E56" s="26" t="n">
        <v>50</v>
      </c>
      <c r="F56" s="26" t="n">
        <v>14</v>
      </c>
      <c r="G56" s="26" t="n">
        <v>-404</v>
      </c>
      <c r="H56" s="26" t="n">
        <v>-29</v>
      </c>
      <c r="I56" s="26" t="n">
        <v>-20200</v>
      </c>
      <c r="J56" s="26" t="n">
        <v>-1443</v>
      </c>
    </row>
    <row r="57" customFormat="false" ht="15" hidden="false" customHeight="false" outlineLevel="0" collapsed="false">
      <c r="A57" s="26" t="s">
        <v>380</v>
      </c>
      <c r="B57" s="26" t="n">
        <v>2</v>
      </c>
      <c r="C57" s="26" t="s">
        <v>405</v>
      </c>
      <c r="D57" s="26" t="s">
        <v>536</v>
      </c>
      <c r="E57" s="26" t="n">
        <v>40</v>
      </c>
      <c r="F57" s="26" t="n">
        <v>8</v>
      </c>
      <c r="G57" s="26" t="n">
        <v>418</v>
      </c>
      <c r="H57" s="26" t="n">
        <v>52</v>
      </c>
      <c r="I57" s="26" t="n">
        <v>8360</v>
      </c>
      <c r="J57" s="26" t="n">
        <v>1045</v>
      </c>
    </row>
    <row r="58" customFormat="false" ht="15" hidden="false" customHeight="false" outlineLevel="0" collapsed="false">
      <c r="A58" s="26" t="s">
        <v>380</v>
      </c>
      <c r="B58" s="26" t="n">
        <v>3</v>
      </c>
      <c r="C58" s="26" t="s">
        <v>393</v>
      </c>
      <c r="D58" s="26" t="s">
        <v>534</v>
      </c>
      <c r="E58" s="26" t="n">
        <v>66</v>
      </c>
      <c r="F58" s="26" t="n">
        <v>20</v>
      </c>
      <c r="G58" s="26" t="n">
        <v>320</v>
      </c>
      <c r="H58" s="26" t="n">
        <v>16</v>
      </c>
      <c r="I58" s="26" t="n">
        <v>21120</v>
      </c>
      <c r="J58" s="26" t="n">
        <v>1056</v>
      </c>
    </row>
    <row r="59" customFormat="false" ht="15" hidden="false" customHeight="false" outlineLevel="0" collapsed="false">
      <c r="A59" s="26" t="s">
        <v>380</v>
      </c>
      <c r="B59" s="26" t="n">
        <v>4</v>
      </c>
      <c r="C59" s="26" t="s">
        <v>384</v>
      </c>
      <c r="D59" s="26" t="s">
        <v>530</v>
      </c>
      <c r="E59" s="26" t="n">
        <v>83</v>
      </c>
      <c r="F59" s="26" t="n">
        <v>12</v>
      </c>
      <c r="G59" s="26" t="n">
        <v>905</v>
      </c>
      <c r="H59" s="26" t="n">
        <v>75</v>
      </c>
      <c r="I59" s="26" t="n">
        <v>37558</v>
      </c>
      <c r="J59" s="26" t="n">
        <v>3130</v>
      </c>
    </row>
    <row r="60" customFormat="false" ht="15" hidden="false" customHeight="false" outlineLevel="0" collapsed="false">
      <c r="A60" s="26" t="s">
        <v>380</v>
      </c>
      <c r="B60" s="26" t="n">
        <v>5</v>
      </c>
      <c r="C60" s="26" t="s">
        <v>379</v>
      </c>
      <c r="D60" s="26" t="s">
        <v>537</v>
      </c>
      <c r="E60" s="26" t="n">
        <v>250</v>
      </c>
      <c r="F60" s="26" t="n">
        <v>16</v>
      </c>
      <c r="G60" s="26" t="n">
        <v>225</v>
      </c>
      <c r="H60" s="26" t="n">
        <v>14</v>
      </c>
      <c r="I60" s="26" t="n">
        <v>56250</v>
      </c>
      <c r="J60" s="26" t="n">
        <v>3516</v>
      </c>
    </row>
    <row r="61" customFormat="false" ht="15" hidden="false" customHeight="false" outlineLevel="0" collapsed="false">
      <c r="A61" s="27" t="s">
        <v>419</v>
      </c>
      <c r="B61" s="27" t="n">
        <v>1</v>
      </c>
      <c r="C61" s="27" t="s">
        <v>448</v>
      </c>
      <c r="D61" s="27" t="s">
        <v>533</v>
      </c>
      <c r="E61" s="27" t="n">
        <v>125</v>
      </c>
      <c r="F61" s="27" t="n">
        <v>24</v>
      </c>
      <c r="G61" s="27" t="n">
        <v>80</v>
      </c>
      <c r="H61" s="27" t="n">
        <v>3</v>
      </c>
      <c r="I61" s="27" t="n">
        <v>10000</v>
      </c>
      <c r="J61" s="27" t="n">
        <v>417</v>
      </c>
    </row>
    <row r="62" customFormat="false" ht="15" hidden="false" customHeight="false" outlineLevel="0" collapsed="false">
      <c r="A62" s="27" t="s">
        <v>419</v>
      </c>
      <c r="B62" s="27" t="n">
        <v>2</v>
      </c>
      <c r="C62" s="27" t="s">
        <v>422</v>
      </c>
      <c r="D62" s="27" t="s">
        <v>538</v>
      </c>
      <c r="E62" s="27" t="n">
        <v>55</v>
      </c>
      <c r="F62" s="27" t="n">
        <v>36</v>
      </c>
      <c r="G62" s="27" t="n">
        <v>3485</v>
      </c>
      <c r="H62" s="27" t="n">
        <v>97</v>
      </c>
      <c r="I62" s="27" t="n">
        <v>191675</v>
      </c>
      <c r="J62" s="27" t="n">
        <v>5324</v>
      </c>
    </row>
    <row r="63" customFormat="false" ht="15" hidden="false" customHeight="false" outlineLevel="0" collapsed="false">
      <c r="A63" s="27" t="s">
        <v>419</v>
      </c>
      <c r="B63" s="27" t="n">
        <v>3</v>
      </c>
      <c r="C63" s="27" t="s">
        <v>442</v>
      </c>
      <c r="D63" s="27" t="s">
        <v>533</v>
      </c>
      <c r="E63" s="27" t="n">
        <v>125</v>
      </c>
      <c r="F63" s="27" t="n">
        <v>20</v>
      </c>
      <c r="G63" s="27" t="n">
        <v>1027</v>
      </c>
      <c r="H63" s="27" t="n">
        <v>51</v>
      </c>
      <c r="I63" s="27" t="n">
        <v>128375</v>
      </c>
      <c r="J63" s="27" t="n">
        <v>6419</v>
      </c>
    </row>
    <row r="64" customFormat="false" ht="15" hidden="false" customHeight="false" outlineLevel="0" collapsed="false">
      <c r="A64" s="27" t="s">
        <v>419</v>
      </c>
      <c r="B64" s="27" t="n">
        <v>4</v>
      </c>
      <c r="C64" s="27" t="s">
        <v>429</v>
      </c>
      <c r="D64" s="27" t="s">
        <v>536</v>
      </c>
      <c r="E64" s="27" t="n">
        <v>40</v>
      </c>
      <c r="F64" s="27" t="n">
        <v>48</v>
      </c>
      <c r="G64" s="27" t="n">
        <v>8040</v>
      </c>
      <c r="H64" s="27" t="n">
        <v>168</v>
      </c>
      <c r="I64" s="27" t="n">
        <v>321600</v>
      </c>
      <c r="J64" s="27" t="n">
        <v>6700</v>
      </c>
    </row>
    <row r="65" customFormat="false" ht="15" hidden="false" customHeight="false" outlineLevel="0" collapsed="false">
      <c r="A65" s="27" t="s">
        <v>419</v>
      </c>
      <c r="B65" s="27" t="n">
        <v>5</v>
      </c>
      <c r="C65" s="27" t="s">
        <v>418</v>
      </c>
      <c r="D65" s="27" t="s">
        <v>528</v>
      </c>
      <c r="E65" s="27" t="n">
        <v>333</v>
      </c>
      <c r="F65" s="27" t="n">
        <v>24</v>
      </c>
      <c r="G65" s="27" t="n">
        <v>580</v>
      </c>
      <c r="H65" s="27" t="n">
        <v>24</v>
      </c>
      <c r="I65" s="27" t="n">
        <v>193140</v>
      </c>
      <c r="J65" s="27" t="n">
        <v>8048</v>
      </c>
    </row>
    <row r="67" customFormat="false" ht="15" hidden="false" customHeight="false" outlineLevel="0" collapsed="false">
      <c r="A67" s="29" t="s">
        <v>539</v>
      </c>
      <c r="B67" s="21"/>
      <c r="C67" s="21"/>
      <c r="D67" s="21"/>
      <c r="E67" s="21"/>
      <c r="F67" s="21"/>
      <c r="G67" s="21"/>
      <c r="H67" s="21"/>
      <c r="I67" s="21"/>
      <c r="J67" s="21"/>
    </row>
    <row r="68" customFormat="false" ht="15" hidden="false" customHeight="false" outlineLevel="0" collapsed="false">
      <c r="A68" s="2" t="s">
        <v>450</v>
      </c>
      <c r="B68" s="2" t="s">
        <v>2</v>
      </c>
      <c r="C68" s="2" t="s">
        <v>513</v>
      </c>
      <c r="D68" s="2" t="s">
        <v>540</v>
      </c>
      <c r="E68" s="2" t="s">
        <v>541</v>
      </c>
      <c r="F68" s="2" t="s">
        <v>542</v>
      </c>
      <c r="G68" s="2" t="s">
        <v>461</v>
      </c>
      <c r="H68" s="2" t="s">
        <v>543</v>
      </c>
      <c r="I68" s="2" t="s">
        <v>544</v>
      </c>
      <c r="J68" s="2" t="s">
        <v>545</v>
      </c>
    </row>
    <row r="69" customFormat="false" ht="15" hidden="false" customHeight="false" outlineLevel="0" collapsed="false">
      <c r="A69" s="30" t="s">
        <v>396</v>
      </c>
      <c r="B69" s="30" t="s">
        <v>380</v>
      </c>
      <c r="C69" s="30" t="s">
        <v>535</v>
      </c>
      <c r="D69" s="30" t="n">
        <v>1324</v>
      </c>
      <c r="E69" s="30" t="n">
        <v>920</v>
      </c>
      <c r="F69" s="30" t="n">
        <v>-404</v>
      </c>
      <c r="G69" s="30" t="n">
        <v>14</v>
      </c>
      <c r="H69" s="30" t="n">
        <v>-29</v>
      </c>
      <c r="I69" s="30" t="n">
        <v>-1443</v>
      </c>
      <c r="J69" s="30" t="s">
        <v>546</v>
      </c>
    </row>
    <row r="70" customFormat="false" ht="15" hidden="false" customHeight="false" outlineLevel="0" collapsed="false">
      <c r="A70" s="30" t="s">
        <v>342</v>
      </c>
      <c r="B70" s="30" t="s">
        <v>337</v>
      </c>
      <c r="C70" s="30" t="s">
        <v>533</v>
      </c>
      <c r="D70" s="30" t="n">
        <v>1115</v>
      </c>
      <c r="E70" s="30" t="n">
        <v>840</v>
      </c>
      <c r="F70" s="30" t="n">
        <v>-275</v>
      </c>
      <c r="G70" s="30" t="n">
        <v>8</v>
      </c>
      <c r="H70" s="30" t="n">
        <v>-34</v>
      </c>
      <c r="I70" s="30" t="n">
        <v>-2148</v>
      </c>
      <c r="J70" s="30" t="s">
        <v>546</v>
      </c>
    </row>
    <row r="71" customFormat="false" ht="15" hidden="false" customHeight="false" outlineLevel="0" collapsed="false">
      <c r="A71" s="30" t="s">
        <v>259</v>
      </c>
      <c r="B71" s="30" t="s">
        <v>201</v>
      </c>
      <c r="C71" s="30" t="s">
        <v>533</v>
      </c>
      <c r="D71" s="30" t="n">
        <v>990</v>
      </c>
      <c r="E71" s="30" t="n">
        <v>850</v>
      </c>
      <c r="F71" s="30" t="n">
        <v>-140</v>
      </c>
      <c r="G71" s="30" t="n">
        <v>24</v>
      </c>
      <c r="H71" s="30" t="n">
        <v>-6</v>
      </c>
      <c r="I71" s="30" t="n">
        <v>-729</v>
      </c>
      <c r="J71" s="30" t="s">
        <v>546</v>
      </c>
    </row>
    <row r="73" customFormat="false" ht="15" hidden="false" customHeight="false" outlineLevel="0" collapsed="false">
      <c r="A73" s="20" t="s">
        <v>547</v>
      </c>
      <c r="B73" s="21"/>
      <c r="C73" s="21"/>
      <c r="D73" s="21"/>
      <c r="E73" s="21"/>
      <c r="F73" s="21"/>
      <c r="G73" s="21"/>
      <c r="H73" s="21"/>
      <c r="I73" s="21"/>
      <c r="J73" s="21"/>
    </row>
    <row r="74" customFormat="false" ht="15" hidden="false" customHeight="false" outlineLevel="0" collapsed="false">
      <c r="A74" s="31" t="s">
        <v>548</v>
      </c>
      <c r="B74" s="31"/>
      <c r="C74" s="31"/>
      <c r="D74" s="31"/>
      <c r="E74" s="31"/>
      <c r="F74" s="32" t="s">
        <v>549</v>
      </c>
      <c r="G74" s="32"/>
      <c r="H74" s="32"/>
      <c r="I74" s="32"/>
      <c r="J74" s="32"/>
    </row>
    <row r="75" customFormat="false" ht="15" hidden="false" customHeight="false" outlineLevel="0" collapsed="false">
      <c r="A75" s="31" t="s">
        <v>550</v>
      </c>
      <c r="B75" s="31"/>
      <c r="C75" s="31"/>
      <c r="D75" s="31"/>
      <c r="E75" s="31"/>
      <c r="F75" s="32" t="s">
        <v>551</v>
      </c>
      <c r="G75" s="32"/>
      <c r="H75" s="32"/>
      <c r="I75" s="32"/>
      <c r="J75" s="32"/>
    </row>
    <row r="77" customFormat="false" ht="15" hidden="false" customHeight="false" outlineLevel="0" collapsed="false">
      <c r="A77" s="31" t="s">
        <v>552</v>
      </c>
      <c r="B77" s="31"/>
      <c r="C77" s="31"/>
      <c r="D77" s="31"/>
      <c r="E77" s="31"/>
      <c r="F77" s="32" t="s">
        <v>553</v>
      </c>
      <c r="G77" s="32"/>
      <c r="H77" s="32"/>
      <c r="I77" s="32"/>
      <c r="J77" s="32"/>
    </row>
    <row r="78" customFormat="false" ht="15" hidden="false" customHeight="false" outlineLevel="0" collapsed="false">
      <c r="A78" s="31" t="s">
        <v>554</v>
      </c>
      <c r="B78" s="31"/>
      <c r="C78" s="31"/>
      <c r="D78" s="31"/>
      <c r="E78" s="31"/>
      <c r="F78" s="32" t="s">
        <v>555</v>
      </c>
      <c r="G78" s="32"/>
      <c r="H78" s="32"/>
      <c r="I78" s="32"/>
      <c r="J78" s="32"/>
    </row>
    <row r="79" customFormat="false" ht="15" hidden="false" customHeight="false" outlineLevel="0" collapsed="false">
      <c r="A79" s="31" t="s">
        <v>556</v>
      </c>
      <c r="B79" s="31"/>
      <c r="C79" s="31"/>
      <c r="D79" s="31"/>
      <c r="E79" s="31"/>
      <c r="F79" s="32" t="s">
        <v>557</v>
      </c>
      <c r="G79" s="32"/>
      <c r="H79" s="32"/>
      <c r="I79" s="32"/>
      <c r="J79" s="32"/>
    </row>
    <row r="80" customFormat="false" ht="15" hidden="false" customHeight="false" outlineLevel="0" collapsed="false">
      <c r="A80" s="31" t="s">
        <v>558</v>
      </c>
      <c r="B80" s="31"/>
      <c r="C80" s="31"/>
      <c r="D80" s="31"/>
      <c r="E80" s="31"/>
      <c r="F80" s="32" t="s">
        <v>559</v>
      </c>
      <c r="G80" s="32"/>
      <c r="H80" s="32"/>
      <c r="I80" s="32"/>
      <c r="J80" s="32"/>
    </row>
    <row r="81" customFormat="false" ht="15" hidden="false" customHeight="false" outlineLevel="0" collapsed="false">
      <c r="A81" s="31" t="s">
        <v>560</v>
      </c>
      <c r="B81" s="31"/>
      <c r="C81" s="31"/>
      <c r="D81" s="31"/>
      <c r="E81" s="31"/>
      <c r="F81" s="32" t="s">
        <v>561</v>
      </c>
      <c r="G81" s="32"/>
      <c r="H81" s="32"/>
      <c r="I81" s="32"/>
      <c r="J81" s="32"/>
    </row>
    <row r="83" customFormat="false" ht="15" hidden="false" customHeight="false" outlineLevel="0" collapsed="false">
      <c r="A83" s="31" t="s">
        <v>562</v>
      </c>
      <c r="B83" s="31"/>
      <c r="C83" s="31"/>
      <c r="D83" s="31"/>
      <c r="E83" s="31"/>
      <c r="F83" s="32" t="s">
        <v>563</v>
      </c>
      <c r="G83" s="32"/>
      <c r="H83" s="32"/>
      <c r="I83" s="32"/>
      <c r="J83" s="32"/>
    </row>
    <row r="84" customFormat="false" ht="15" hidden="false" customHeight="false" outlineLevel="0" collapsed="false">
      <c r="A84" s="31" t="s">
        <v>564</v>
      </c>
      <c r="B84" s="31"/>
      <c r="C84" s="31"/>
      <c r="D84" s="31"/>
      <c r="E84" s="31"/>
      <c r="F84" s="32" t="s">
        <v>565</v>
      </c>
      <c r="G84" s="32"/>
      <c r="H84" s="32"/>
      <c r="I84" s="32"/>
      <c r="J84" s="32"/>
    </row>
    <row r="85" customFormat="false" ht="15" hidden="false" customHeight="false" outlineLevel="0" collapsed="false">
      <c r="A85" s="31" t="s">
        <v>566</v>
      </c>
      <c r="B85" s="31"/>
      <c r="C85" s="31"/>
      <c r="D85" s="31"/>
      <c r="E85" s="31"/>
      <c r="F85" s="32" t="s">
        <v>567</v>
      </c>
      <c r="G85" s="32"/>
      <c r="H85" s="32"/>
      <c r="I85" s="32"/>
      <c r="J85" s="32"/>
    </row>
    <row r="87" customFormat="false" ht="15" hidden="false" customHeight="false" outlineLevel="0" collapsed="false">
      <c r="A87" s="31" t="s">
        <v>568</v>
      </c>
      <c r="B87" s="31"/>
      <c r="C87" s="31"/>
      <c r="D87" s="31"/>
      <c r="E87" s="31"/>
      <c r="F87" s="32" t="s">
        <v>569</v>
      </c>
      <c r="G87" s="32"/>
      <c r="H87" s="32"/>
      <c r="I87" s="32"/>
      <c r="J87" s="32"/>
    </row>
    <row r="88" customFormat="false" ht="15" hidden="false" customHeight="false" outlineLevel="0" collapsed="false">
      <c r="A88" s="31" t="s">
        <v>570</v>
      </c>
      <c r="B88" s="31"/>
      <c r="C88" s="31"/>
      <c r="D88" s="31"/>
      <c r="E88" s="31"/>
      <c r="F88" s="32" t="s">
        <v>571</v>
      </c>
      <c r="G88" s="32"/>
      <c r="H88" s="32"/>
      <c r="I88" s="32"/>
      <c r="J88" s="32"/>
    </row>
    <row r="89" customFormat="false" ht="15" hidden="false" customHeight="false" outlineLevel="0" collapsed="false">
      <c r="A89" s="31" t="s">
        <v>572</v>
      </c>
      <c r="B89" s="31"/>
      <c r="C89" s="31"/>
      <c r="D89" s="31"/>
      <c r="E89" s="31"/>
      <c r="F89" s="32" t="s">
        <v>573</v>
      </c>
      <c r="G89" s="32"/>
      <c r="H89" s="32"/>
      <c r="I89" s="32"/>
      <c r="J89" s="32"/>
    </row>
    <row r="91" customFormat="false" ht="15" hidden="false" customHeight="false" outlineLevel="0" collapsed="false">
      <c r="A91" s="31" t="s">
        <v>574</v>
      </c>
      <c r="B91" s="31"/>
      <c r="C91" s="31"/>
      <c r="D91" s="31"/>
      <c r="E91" s="31"/>
      <c r="F91" s="32"/>
      <c r="G91" s="32"/>
      <c r="H91" s="32"/>
      <c r="I91" s="32"/>
      <c r="J91" s="32"/>
    </row>
    <row r="92" customFormat="false" ht="15" hidden="false" customHeight="false" outlineLevel="0" collapsed="false">
      <c r="A92" s="31" t="s">
        <v>575</v>
      </c>
      <c r="B92" s="31"/>
      <c r="C92" s="31"/>
      <c r="D92" s="31"/>
      <c r="E92" s="31"/>
      <c r="F92" s="32" t="s">
        <v>576</v>
      </c>
      <c r="G92" s="32"/>
      <c r="H92" s="32"/>
      <c r="I92" s="32"/>
      <c r="J92" s="32"/>
    </row>
    <row r="93" customFormat="false" ht="15" hidden="false" customHeight="false" outlineLevel="0" collapsed="false">
      <c r="A93" s="31" t="s">
        <v>577</v>
      </c>
      <c r="B93" s="31"/>
      <c r="C93" s="31"/>
      <c r="D93" s="31"/>
      <c r="E93" s="31"/>
      <c r="F93" s="32" t="s">
        <v>578</v>
      </c>
      <c r="G93" s="32"/>
      <c r="H93" s="32"/>
      <c r="I93" s="32"/>
      <c r="J93" s="32"/>
    </row>
    <row r="94" customFormat="false" ht="15" hidden="false" customHeight="false" outlineLevel="0" collapsed="false">
      <c r="A94" s="31" t="s">
        <v>568</v>
      </c>
      <c r="B94" s="31"/>
      <c r="C94" s="31"/>
      <c r="D94" s="31"/>
      <c r="E94" s="31"/>
      <c r="F94" s="32" t="s">
        <v>579</v>
      </c>
      <c r="G94" s="32"/>
      <c r="H94" s="32"/>
      <c r="I94" s="32"/>
      <c r="J94" s="32"/>
    </row>
  </sheetData>
  <mergeCells count="34">
    <mergeCell ref="A74:E74"/>
    <mergeCell ref="F74:J74"/>
    <mergeCell ref="A75:E75"/>
    <mergeCell ref="F75:J75"/>
    <mergeCell ref="A77:E77"/>
    <mergeCell ref="F77:J77"/>
    <mergeCell ref="A78:E78"/>
    <mergeCell ref="F78:J78"/>
    <mergeCell ref="A79:E79"/>
    <mergeCell ref="F79:J79"/>
    <mergeCell ref="A80:E80"/>
    <mergeCell ref="F80:J80"/>
    <mergeCell ref="A81:E81"/>
    <mergeCell ref="F81:J81"/>
    <mergeCell ref="A83:E83"/>
    <mergeCell ref="F83:J83"/>
    <mergeCell ref="A84:E84"/>
    <mergeCell ref="F84:J84"/>
    <mergeCell ref="A85:E85"/>
    <mergeCell ref="F85:J85"/>
    <mergeCell ref="A87:E87"/>
    <mergeCell ref="F87:J87"/>
    <mergeCell ref="A88:E88"/>
    <mergeCell ref="F88:J88"/>
    <mergeCell ref="A89:E89"/>
    <mergeCell ref="F89:J89"/>
    <mergeCell ref="A91:E91"/>
    <mergeCell ref="F91:J91"/>
    <mergeCell ref="A92:E92"/>
    <mergeCell ref="F92:J92"/>
    <mergeCell ref="A93:E93"/>
    <mergeCell ref="F93:J93"/>
    <mergeCell ref="A94:E94"/>
    <mergeCell ref="F94:J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2026-02-13T16:30:10Z</dcterms:created>
  <dc:creator>openpyxl</dc:creator>
  <dc:description/>
  <dc:language>en-US</dc:language>
  <cp:lastModifiedBy/>
  <dcterms:modified xsi:type="dcterms:W3CDTF">2026-02-13T16:47:09Z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